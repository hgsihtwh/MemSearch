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аспорт" sheetId="2" state="visible" r:id="rId2"/>
    <sheet xmlns:r="http://schemas.openxmlformats.org/officeDocument/2006/relationships" name="Темы" sheetId="3" state="visible" r:id="rId3"/>
  </sheets>
  <definedNames>
    <definedName name="_xlnm._FilterDatabase" localSheetId="1" hidden="1">'Паспорт'!$A$1:$Q$92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Критерий</t>
        </is>
      </c>
      <c r="D1" s="1" t="inlineStr">
        <is>
          <t>Выполнено</t>
        </is>
      </c>
    </row>
    <row r="2">
      <c r="A2" t="inlineStr">
        <is>
          <t>Роликов в коллекции</t>
        </is>
      </c>
      <c r="B2">
        <f>COUNTA(Паспорт!A2:A500)</f>
        <v/>
      </c>
      <c r="C2" t="inlineStr">
        <is>
          <t>90–110</t>
        </is>
      </c>
      <c r="D2">
        <f>IF(AND(B2&gt;=90,B2&lt;=110),"да","нет")</f>
        <v/>
      </c>
    </row>
    <row r="3">
      <c r="A3" t="inlineStr">
        <is>
          <t>Из TikTok</t>
        </is>
      </c>
      <c r="B3">
        <f>COUNTIF(Паспорт!C2:C500,"TikTok")</f>
        <v/>
      </c>
      <c r="C3" t="inlineStr"/>
      <c r="D3" t="inlineStr"/>
    </row>
    <row r="4">
      <c r="A4" t="inlineStr">
        <is>
          <t>Из VK</t>
        </is>
      </c>
      <c r="B4">
        <f>COUNTIF(Паспорт!C2:C500,"VK")</f>
        <v/>
      </c>
      <c r="C4" t="inlineStr"/>
      <c r="D4" t="inlineStr"/>
    </row>
    <row r="5">
      <c r="A5" t="inlineStr">
        <is>
          <t>Доля TikTok</t>
        </is>
      </c>
      <c r="B5" s="2">
        <f>IF(B2=0,0,B3/B2)</f>
        <v/>
      </c>
      <c r="C5" t="inlineStr">
        <is>
          <t>≥ 2/3</t>
        </is>
      </c>
      <c r="D5">
        <f>IF(B5&gt;=2/3,"да","нет")</f>
        <v/>
      </c>
    </row>
    <row r="6">
      <c r="A6" t="inlineStr">
        <is>
          <t>С речью</t>
        </is>
      </c>
      <c r="B6">
        <f>COUNTIF(Паспорт!L2:L500,"да")</f>
        <v/>
      </c>
      <c r="C6" t="inlineStr"/>
      <c r="D6" t="inlineStr"/>
    </row>
    <row r="7">
      <c r="A7" t="inlineStr">
        <is>
          <t>Доля с речью или текстом в кадре</t>
        </is>
      </c>
      <c r="B7" s="2">
        <f>IF(B2=0,0,SUMPRODUCT(--(((Паспорт!L2:L500)="да")+((Паспорт!N2:N500)="да")&gt;0))/B2)</f>
        <v/>
      </c>
      <c r="C7" t="inlineStr">
        <is>
          <t>≥ 80 %</t>
        </is>
      </c>
      <c r="D7">
        <f>IF(B7&gt;=0.8,"да","нет")</f>
        <v/>
      </c>
    </row>
    <row r="8">
      <c r="A8" t="inlineStr">
        <is>
          <t>Доля без речи</t>
        </is>
      </c>
      <c r="B8" s="2">
        <f>IF(B2=0,0,COUNTIF(Паспорт!L2:L500,"нет")/B2)</f>
        <v/>
      </c>
      <c r="C8" t="inlineStr">
        <is>
          <t>посчитать</t>
        </is>
      </c>
      <c r="D8" t="inlineStr"/>
    </row>
    <row r="9">
      <c r="A9" t="inlineStr">
        <is>
          <t>С текстом в кадре</t>
        </is>
      </c>
      <c r="B9">
        <f>COUNTIF(Паспорт!N2:N500,"да")</f>
        <v/>
      </c>
      <c r="C9" t="inlineStr">
        <is>
          <t>≥ 10</t>
        </is>
      </c>
      <c r="D9">
        <f>IF(B9&gt;=10,"да","нет")</f>
        <v/>
      </c>
    </row>
    <row r="10">
      <c r="A10" t="inlineStr">
        <is>
          <t>Тем использовано</t>
        </is>
      </c>
      <c r="B10">
        <f>SUMPRODUCT((Паспорт!O2:O500&lt;&gt;"")/COUNTIF(Паспорт!O2:O500,Паспорт!O2:O500&amp;""))</f>
        <v/>
      </c>
      <c r="C10" t="inlineStr">
        <is>
          <t>≥ 5</t>
        </is>
      </c>
      <c r="D10">
        <f>IF(B10&gt;=5,"да","нет")</f>
        <v/>
      </c>
    </row>
    <row r="11">
      <c r="A11" t="inlineStr">
        <is>
          <t>Недоступных ссылок</t>
        </is>
      </c>
      <c r="B11">
        <f>COUNTIF(Паспорт!K2:K500,"ошибка*")</f>
        <v/>
      </c>
      <c r="C11" t="inlineStr">
        <is>
          <t>0</t>
        </is>
      </c>
      <c r="D11">
        <f>IF(B11=0,"да","нет")</f>
        <v/>
      </c>
    </row>
    <row r="12">
      <c r="A12" t="inlineStr">
        <is>
          <t>Не размечено (пустая «Речь»)</t>
        </is>
      </c>
      <c r="B12">
        <f>B2-COUNTA(Паспорт!L2:L500)</f>
        <v/>
      </c>
      <c r="C12" t="inlineStr">
        <is>
          <t>0</t>
        </is>
      </c>
      <c r="D12">
        <f>IF(B12=0,"да","нет")</f>
        <v/>
      </c>
    </row>
    <row r="14">
      <c r="A14" s="1" t="inlineStr">
        <is>
          <t>Распределение по темам</t>
        </is>
      </c>
      <c r="B14" s="1" t="inlineStr">
        <is>
          <t>Роликов</t>
        </is>
      </c>
      <c r="C14" s="1" t="inlineStr">
        <is>
          <t>Доля</t>
        </is>
      </c>
      <c r="D14" s="1" t="n"/>
    </row>
    <row r="15">
      <c r="A15" t="inlineStr">
        <is>
          <t>Юмор и мемы</t>
        </is>
      </c>
      <c r="B15">
        <f>COUNTIF(Паспорт!O2:O500,A15)</f>
        <v/>
      </c>
      <c r="C15" s="2">
        <f>IF($B$2=0,0,B15/$B$2)</f>
        <v/>
      </c>
    </row>
    <row r="16">
      <c r="A16" t="inlineStr">
        <is>
          <t>Еда и рецепты</t>
        </is>
      </c>
      <c r="B16">
        <f>COUNTIF(Паспорт!O2:O500,A16)</f>
        <v/>
      </c>
      <c r="C16" s="2">
        <f>IF($B$2=0,0,B16/$B$2)</f>
        <v/>
      </c>
    </row>
    <row r="17">
      <c r="A17" t="inlineStr">
        <is>
          <t>Красота и уход</t>
        </is>
      </c>
      <c r="B17">
        <f>COUNTIF(Паспорт!O2:O500,A17)</f>
        <v/>
      </c>
      <c r="C17" s="2">
        <f>IF($B$2=0,0,B17/$B$2)</f>
        <v/>
      </c>
    </row>
    <row r="18">
      <c r="A18" t="inlineStr">
        <is>
          <t>Мода и покупки</t>
        </is>
      </c>
      <c r="B18">
        <f>COUNTIF(Паспорт!O2:O500,A18)</f>
        <v/>
      </c>
      <c r="C18" s="2">
        <f>IF($B$2=0,0,B18/$B$2)</f>
        <v/>
      </c>
    </row>
    <row r="19">
      <c r="A19" t="inlineStr">
        <is>
          <t>Учёба и IT</t>
        </is>
      </c>
      <c r="B19">
        <f>COUNTIF(Паспорт!O2:O500,A19)</f>
        <v/>
      </c>
      <c r="C19" s="2">
        <f>IF($B$2=0,0,B19/$B$2)</f>
        <v/>
      </c>
    </row>
    <row r="20">
      <c r="A20" t="inlineStr">
        <is>
          <t>Спорт и здоровье</t>
        </is>
      </c>
      <c r="B20">
        <f>COUNTIF(Паспорт!O2:O500,A20)</f>
        <v/>
      </c>
      <c r="C20" s="2">
        <f>IF($B$2=0,0,B20/$B$2)</f>
        <v/>
      </c>
    </row>
    <row r="21">
      <c r="A21" t="inlineStr">
        <is>
          <t>Путешествия и места</t>
        </is>
      </c>
      <c r="B21">
        <f>COUNTIF(Паспорт!O2:O500,A21)</f>
        <v/>
      </c>
      <c r="C21" s="2">
        <f>IF($B$2=0,0,B21/$B$2)</f>
        <v/>
      </c>
    </row>
    <row r="22">
      <c r="A22" t="inlineStr">
        <is>
          <t>Психология и отношения</t>
        </is>
      </c>
      <c r="B22">
        <f>COUNTIF(Паспорт!O2:O500,A22)</f>
        <v/>
      </c>
      <c r="C22" s="2">
        <f>IF($B$2=0,0,B22/$B$2)</f>
        <v/>
      </c>
    </row>
    <row r="23">
      <c r="A23" t="inlineStr">
        <is>
          <t>Музыка и танцы</t>
        </is>
      </c>
      <c r="B23">
        <f>COUNTIF(Паспорт!O2:O500,A23)</f>
        <v/>
      </c>
      <c r="C23" s="2">
        <f>IF($B$2=0,0,B23/$B$2)</f>
        <v/>
      </c>
    </row>
    <row r="24">
      <c r="A24" t="inlineStr">
        <is>
          <t>Лайфхаки и быт</t>
        </is>
      </c>
      <c r="B24">
        <f>COUNTIF(Паспорт!O2:O500,A24)</f>
        <v/>
      </c>
      <c r="C24" s="2">
        <f>IF($B$2=0,0,B24/$B$2)</f>
        <v/>
      </c>
    </row>
    <row r="25">
      <c r="A25" t="inlineStr">
        <is>
          <t>Кино и сериалы</t>
        </is>
      </c>
      <c r="B25">
        <f>COUNTIF(Паспорт!O2:O500,A25)</f>
        <v/>
      </c>
      <c r="C25" s="2">
        <f>IF($B$2=0,0,B25/$B$2)</f>
        <v/>
      </c>
    </row>
    <row r="26">
      <c r="A26" t="inlineStr">
        <is>
          <t>Животные</t>
        </is>
      </c>
      <c r="B26">
        <f>COUNTIF(Паспорт!O2:O500,A26)</f>
        <v/>
      </c>
      <c r="C26" s="2">
        <f>IF($B$2=0,0,B26/$B$2)</f>
        <v/>
      </c>
    </row>
    <row r="27">
      <c r="A27" t="inlineStr">
        <is>
          <t>Общество и политика</t>
        </is>
      </c>
      <c r="B27">
        <f>COUNTIF(Паспорт!O2:O500,A27)</f>
        <v/>
      </c>
      <c r="C27" s="2">
        <f>IF($B$2=0,0,B27/$B$2)</f>
        <v/>
      </c>
    </row>
    <row r="28">
      <c r="A28" t="inlineStr">
        <is>
          <t>Другое</t>
        </is>
      </c>
      <c r="B28">
        <f>COUNTIF(Паспорт!O2:O500,A28)</f>
        <v/>
      </c>
      <c r="C28" s="2">
        <f>IF($B$2=0,0,B28/$B$2)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45" customWidth="1" min="4" max="4"/>
    <col width="12" customWidth="1" min="5" max="5"/>
    <col width="18" customWidth="1" min="6" max="6"/>
    <col width="50" customWidth="1" min="7" max="7"/>
    <col width="11" customWidth="1" min="8" max="8"/>
    <col width="10" customWidth="1" min="9" max="9"/>
    <col width="11" customWidth="1" min="10" max="10"/>
    <col width="18" customWidth="1" min="11" max="11"/>
    <col width="8" customWidth="1" min="12" max="12"/>
    <col width="8" customWidth="1" min="13" max="13"/>
    <col width="10" customWidth="1" min="14" max="14"/>
    <col width="22" customWidth="1" min="15" max="15"/>
    <col width="13" customWidth="1" min="16" max="16"/>
    <col width="30" customWidth="1" min="17" max="17"/>
  </cols>
  <sheetData>
    <row r="1">
      <c r="A1" s="3" t="inlineStr">
        <is>
          <t>№</t>
        </is>
      </c>
      <c r="B1" s="3" t="inlineStr">
        <is>
          <t>ID</t>
        </is>
      </c>
      <c r="C1" s="3" t="inlineStr">
        <is>
          <t>Платформа</t>
        </is>
      </c>
      <c r="D1" s="3" t="inlineStr">
        <is>
          <t>Ссылка</t>
        </is>
      </c>
      <c r="E1" s="3" t="inlineStr">
        <is>
          <t>Чьё «Избранное»</t>
        </is>
      </c>
      <c r="F1" s="3" t="inlineStr">
        <is>
          <t>Автор</t>
        </is>
      </c>
      <c r="G1" s="3" t="inlineStr">
        <is>
          <t>Название / подпись</t>
        </is>
      </c>
      <c r="H1" s="3" t="inlineStr">
        <is>
          <t>Длительность, с</t>
        </is>
      </c>
      <c r="I1" s="3" t="inlineStr">
        <is>
          <t>Описание есть</t>
        </is>
      </c>
      <c r="J1" s="3" t="inlineStr">
        <is>
          <t>Субтитры платформы</t>
        </is>
      </c>
      <c r="K1" s="3" t="inlineStr">
        <is>
          <t>Статус ссылки</t>
        </is>
      </c>
      <c r="L1" s="4" t="inlineStr">
        <is>
          <t>Речь</t>
        </is>
      </c>
      <c r="M1" s="4" t="inlineStr">
        <is>
          <t>Язык</t>
        </is>
      </c>
      <c r="N1" s="4" t="inlineStr">
        <is>
          <t>Текст в кадре</t>
        </is>
      </c>
      <c r="O1" s="4" t="inlineStr">
        <is>
          <t>Тема</t>
        </is>
      </c>
      <c r="P1" s="4" t="inlineStr">
        <is>
          <t>Качество звука</t>
        </is>
      </c>
      <c r="Q1" s="4" t="inlineStr">
        <is>
          <t>Комментарий</t>
        </is>
      </c>
    </row>
    <row r="2">
      <c r="A2" t="n">
        <v>1</v>
      </c>
      <c r="B2" t="inlineStr">
        <is>
          <t>7693220621068684562</t>
        </is>
      </c>
      <c r="C2" t="inlineStr">
        <is>
          <t>TikTok</t>
        </is>
      </c>
      <c r="D2" t="inlineStr">
        <is>
          <t>https://www.tiktok.com/@wolframoviy02/video/7693220621068684562</t>
        </is>
      </c>
      <c r="E2" t="inlineStr">
        <is>
          <t>Анастасия</t>
        </is>
      </c>
      <c r="F2" t="inlineStr">
        <is>
          <t>@wolframoviy02</t>
        </is>
      </c>
      <c r="G2" t="inlineStr">
        <is>
          <t>История про Therac-25 #история #программист #мемы #программирование #programming  Therac-25 (с англ. — «Терак-25») — аппарат лучевой терапии, медицинский ускоритель, созданный канадской государственно</t>
        </is>
      </c>
      <c r="I2" t="inlineStr">
        <is>
          <t>да</t>
        </is>
      </c>
      <c r="K2" t="inlineStr">
        <is>
          <t>доступна (oEmbed)</t>
        </is>
      </c>
      <c r="L2" t="inlineStr">
        <is>
          <t>да</t>
        </is>
      </c>
      <c r="M2" t="inlineStr">
        <is>
          <t>рус</t>
        </is>
      </c>
      <c r="N2" t="inlineStr">
        <is>
          <t>да</t>
        </is>
      </c>
      <c r="O2" t="inlineStr">
        <is>
          <t>Учёба и IT</t>
        </is>
      </c>
      <c r="P2" t="inlineStr">
        <is>
          <t>хорошее</t>
        </is>
      </c>
      <c r="Q2" t="inlineStr">
        <is>
          <t>Своя тема: программирование</t>
        </is>
      </c>
    </row>
    <row r="3">
      <c r="A3" t="n">
        <v>2</v>
      </c>
      <c r="B3" t="inlineStr">
        <is>
          <t>7492893285204249878</t>
        </is>
      </c>
      <c r="C3" t="inlineStr">
        <is>
          <t>TikTok</t>
        </is>
      </c>
      <c r="D3" t="inlineStr">
        <is>
          <t>https://www.tiktok.com/@ilnitskaja1/video/7492893285204249878</t>
        </is>
      </c>
      <c r="E3" t="inlineStr">
        <is>
          <t>Анастасия</t>
        </is>
      </c>
      <c r="F3" t="inlineStr">
        <is>
          <t>@ilnitskaja1</t>
        </is>
      </c>
      <c r="G3" t="inlineStr">
        <is>
          <t xml:space="preserve">Было…..тяжело 😳 #ягодичныймостик #ягодицы #мост #техника #ягодичныймост250кг #моствтренажере #зал #пп #упражнения #gymgirlsoftiktok </t>
        </is>
      </c>
      <c r="I3" t="inlineStr">
        <is>
          <t>да</t>
        </is>
      </c>
      <c r="K3" t="inlineStr">
        <is>
          <t>доступна (oEmbed)</t>
        </is>
      </c>
      <c r="L3" t="inlineStr">
        <is>
          <t>да</t>
        </is>
      </c>
      <c r="M3" t="inlineStr">
        <is>
          <t>рус</t>
        </is>
      </c>
      <c r="N3" t="inlineStr">
        <is>
          <t>да</t>
        </is>
      </c>
      <c r="O3" t="inlineStr">
        <is>
          <t>Спорт и здоровье</t>
        </is>
      </c>
      <c r="P3" t="inlineStr">
        <is>
          <t>хорошее</t>
        </is>
      </c>
      <c r="Q3" t="inlineStr">
        <is>
          <t>Своя тема: спортзал</t>
        </is>
      </c>
    </row>
    <row r="4">
      <c r="A4" t="n">
        <v>3</v>
      </c>
      <c r="B4" t="inlineStr">
        <is>
          <t>7696248119398386976</t>
        </is>
      </c>
      <c r="C4" t="inlineStr">
        <is>
          <t>TikTok</t>
        </is>
      </c>
      <c r="D4" t="inlineStr">
        <is>
          <t>https://www.tiktok.com/@prof.zhukpuk/video/7696248119398386976</t>
        </is>
      </c>
      <c r="E4" t="inlineStr">
        <is>
          <t>Анастасия</t>
        </is>
      </c>
      <c r="F4" t="inlineStr">
        <is>
          <t>@prof.zhukpuk</t>
        </is>
      </c>
      <c r="G4" t="inlineStr">
        <is>
          <t>я не знаю какие хештеги тут ставить, делитесь ссылкой, чтобы продвигать профэссора за базированное мнение</t>
        </is>
      </c>
      <c r="I4" t="inlineStr">
        <is>
          <t>да</t>
        </is>
      </c>
      <c r="K4" t="inlineStr">
        <is>
          <t>доступна (oEmbed)</t>
        </is>
      </c>
      <c r="L4" t="inlineStr">
        <is>
          <t>да</t>
        </is>
      </c>
      <c r="M4" t="inlineStr">
        <is>
          <t>рус</t>
        </is>
      </c>
      <c r="N4" t="inlineStr">
        <is>
          <t>да</t>
        </is>
      </c>
      <c r="O4" t="inlineStr">
        <is>
          <t>Общество и политика</t>
        </is>
      </c>
      <c r="P4" t="inlineStr">
        <is>
          <t>хорошее</t>
        </is>
      </c>
      <c r="Q4" t="inlineStr">
        <is>
          <t>Своя тема: гендерное неравенство</t>
        </is>
      </c>
    </row>
    <row r="5">
      <c r="A5" t="n">
        <v>4</v>
      </c>
      <c r="B5" t="inlineStr">
        <is>
          <t>7687297499735805202</t>
        </is>
      </c>
      <c r="C5" t="inlineStr">
        <is>
          <t>TikTok</t>
        </is>
      </c>
      <c r="D5" t="inlineStr">
        <is>
          <t>https://www.tiktok.com/@ttbynina/video/7687297499735805202</t>
        </is>
      </c>
      <c r="E5" t="inlineStr">
        <is>
          <t>Анастасия</t>
        </is>
      </c>
      <c r="F5" t="inlineStr">
        <is>
          <t>@ttbynina</t>
        </is>
      </c>
      <c r="G5" t="inlineStr">
        <is>
          <t xml:space="preserve">Там потом ещё много интересного узнаете в процессе👌🏼Главное начать #какпохудеть #какнабратьмассу #ппрецепт #какдобратьбелок </t>
        </is>
      </c>
      <c r="I5" t="inlineStr">
        <is>
          <t>да</t>
        </is>
      </c>
      <c r="K5" t="inlineStr">
        <is>
          <t>доступна (oEmbed)</t>
        </is>
      </c>
      <c r="L5" t="inlineStr">
        <is>
          <t>нет</t>
        </is>
      </c>
      <c r="M5" t="inlineStr">
        <is>
          <t>рус</t>
        </is>
      </c>
      <c r="N5" t="inlineStr">
        <is>
          <t>да</t>
        </is>
      </c>
      <c r="O5" t="inlineStr">
        <is>
          <t>Спорт и здоровье</t>
        </is>
      </c>
      <c r="P5" t="inlineStr">
        <is>
          <t>только музыка</t>
        </is>
      </c>
      <c r="Q5" t="inlineStr">
        <is>
          <t>Своя тема: спортзал</t>
        </is>
      </c>
    </row>
    <row r="6">
      <c r="A6" t="n">
        <v>5</v>
      </c>
      <c r="B6" t="inlineStr">
        <is>
          <t>7695800494962265376</t>
        </is>
      </c>
      <c r="C6" t="inlineStr">
        <is>
          <t>TikTok</t>
        </is>
      </c>
      <c r="D6" t="inlineStr">
        <is>
          <t>https://www.tiktok.com/@rubezh_education/video/7695800494962265376</t>
        </is>
      </c>
      <c r="E6" t="inlineStr">
        <is>
          <t>Анастасия</t>
        </is>
      </c>
      <c r="F6" t="inlineStr">
        <is>
          <t>@rubezh_education</t>
        </is>
      </c>
      <c r="G6" t="inlineStr">
        <is>
          <t>Получите план поступления за границу в 2027🎓 📲 Записывайтесь на бесплатную консультацию — ссылка на запись в Телеграм (30к пдп): rubezhstudy #учебазаграницей #образованиевевропе #бесплатнаяучеба #гран</t>
        </is>
      </c>
      <c r="I6" t="inlineStr">
        <is>
          <t>да</t>
        </is>
      </c>
      <c r="K6" t="inlineStr">
        <is>
          <t>доступна (oEmbed)</t>
        </is>
      </c>
      <c r="L6" t="inlineStr">
        <is>
          <t>нет</t>
        </is>
      </c>
      <c r="M6" t="inlineStr">
        <is>
          <t>рус</t>
        </is>
      </c>
      <c r="N6" t="inlineStr">
        <is>
          <t>да</t>
        </is>
      </c>
      <c r="O6" t="inlineStr">
        <is>
          <t>Учёба и IT</t>
        </is>
      </c>
      <c r="P6" t="inlineStr">
        <is>
          <t>только музыка</t>
        </is>
      </c>
      <c r="Q6" t="inlineStr">
        <is>
          <t>Своя тема: поступление заграницу</t>
        </is>
      </c>
    </row>
    <row r="7">
      <c r="A7" t="n">
        <v>6</v>
      </c>
      <c r="B7" t="inlineStr">
        <is>
          <t>7677840338479762706</t>
        </is>
      </c>
      <c r="C7" t="inlineStr">
        <is>
          <t>TikTok</t>
        </is>
      </c>
      <c r="D7" t="inlineStr">
        <is>
          <t>https://www.tiktok.com/@anosof.roman/video/7677840338479762706</t>
        </is>
      </c>
      <c r="E7" t="inlineStr">
        <is>
          <t>Анастасия</t>
        </is>
      </c>
      <c r="F7" t="inlineStr">
        <is>
          <t>@anosof.roman</t>
        </is>
      </c>
      <c r="G7" t="inlineStr">
        <is>
          <t>Почему не берут на работу после курсов? 😢 Право на страдания. Что вы думаете, имеет ли человек право сменить профессию в 30 лет, или это инфантилизм, легкомысленность и безалаберность? 🤔 Пишите в комм</t>
        </is>
      </c>
      <c r="I7" t="inlineStr">
        <is>
          <t>да</t>
        </is>
      </c>
      <c r="K7" t="inlineStr">
        <is>
          <t>доступна (oEmbed)</t>
        </is>
      </c>
      <c r="L7" t="inlineStr">
        <is>
          <t>да</t>
        </is>
      </c>
      <c r="M7" t="inlineStr">
        <is>
          <t>рус</t>
        </is>
      </c>
      <c r="N7" t="inlineStr">
        <is>
          <t>да</t>
        </is>
      </c>
      <c r="O7" t="inlineStr">
        <is>
          <t>Учёба и IT</t>
        </is>
      </c>
      <c r="P7" t="inlineStr">
        <is>
          <t>хорошее</t>
        </is>
      </c>
      <c r="Q7" t="inlineStr">
        <is>
          <t>Своя тема: работа в it</t>
        </is>
      </c>
    </row>
    <row r="8">
      <c r="A8" t="n">
        <v>7</v>
      </c>
      <c r="B8" t="inlineStr">
        <is>
          <t>7695336047642692884</t>
        </is>
      </c>
      <c r="C8" t="inlineStr">
        <is>
          <t>TikTok</t>
        </is>
      </c>
      <c r="D8" t="inlineStr">
        <is>
          <t>https://www.tiktok.com/@apologygirlrl/video/7695336047642692884</t>
        </is>
      </c>
      <c r="E8" t="inlineStr">
        <is>
          <t>Анастасия</t>
        </is>
      </c>
      <c r="F8" t="inlineStr">
        <is>
          <t>@apologygirlrl</t>
        </is>
      </c>
      <c r="G8" t="inlineStr">
        <is>
          <t>"Блиин насчет чего мне теперь ныть😭😭😭😭неет нет нас тоже угнетают!!! нам девушки не дают!!! мужчины угнетаются!!!" bruh. men loneliness epidemic не существует, борьба за мужские права бесссысленна, фем</t>
        </is>
      </c>
      <c r="I8" t="inlineStr">
        <is>
          <t>да</t>
        </is>
      </c>
      <c r="K8" t="inlineStr">
        <is>
          <t>доступна (oEmbed)</t>
        </is>
      </c>
      <c r="L8" t="inlineStr">
        <is>
          <t>нет</t>
        </is>
      </c>
      <c r="M8" t="inlineStr">
        <is>
          <t>рус</t>
        </is>
      </c>
      <c r="N8" t="inlineStr">
        <is>
          <t>да</t>
        </is>
      </c>
      <c r="O8" t="inlineStr">
        <is>
          <t>Общество и политика</t>
        </is>
      </c>
      <c r="P8" t="inlineStr">
        <is>
          <t>только музыка</t>
        </is>
      </c>
      <c r="Q8" t="inlineStr">
        <is>
          <t>Своя тема: гендерное неравенство</t>
        </is>
      </c>
    </row>
    <row r="9">
      <c r="A9" t="n">
        <v>8</v>
      </c>
      <c r="B9" t="inlineStr">
        <is>
          <t>7690957432595467527</t>
        </is>
      </c>
      <c r="C9" t="inlineStr">
        <is>
          <t>TikTok</t>
        </is>
      </c>
      <c r="D9" t="inlineStr">
        <is>
          <t>https://www.tiktok.com/@niolypolina/video/7690957432595467527</t>
        </is>
      </c>
      <c r="E9" t="inlineStr">
        <is>
          <t>Анастасия</t>
        </is>
      </c>
      <c r="F9" t="inlineStr">
        <is>
          <t>@niolypolina</t>
        </is>
      </c>
      <c r="G9" t="inlineStr">
        <is>
          <t xml:space="preserve">ТГК Nioly, ты как? В итоге я купила подарок Арине, а как вам туфли? #миллионер #блогер #подарок #агент #аринасавастру </t>
        </is>
      </c>
      <c r="I9" t="inlineStr">
        <is>
          <t>да</t>
        </is>
      </c>
      <c r="K9" t="inlineStr">
        <is>
          <t>доступна (oEmbed)</t>
        </is>
      </c>
      <c r="L9" t="inlineStr">
        <is>
          <t>да</t>
        </is>
      </c>
      <c r="M9" t="inlineStr">
        <is>
          <t>рус</t>
        </is>
      </c>
      <c r="N9" t="inlineStr">
        <is>
          <t>да</t>
        </is>
      </c>
      <c r="O9" t="inlineStr">
        <is>
          <t>Мода и покупки</t>
        </is>
      </c>
      <c r="P9" t="inlineStr">
        <is>
          <t>хорошее</t>
        </is>
      </c>
      <c r="Q9" t="inlineStr">
        <is>
          <t>Своя тема: подарок на день рождение</t>
        </is>
      </c>
    </row>
    <row r="10">
      <c r="A10" t="n">
        <v>9</v>
      </c>
      <c r="B10" t="inlineStr">
        <is>
          <t>7692445554780966162</t>
        </is>
      </c>
      <c r="C10" t="inlineStr">
        <is>
          <t>TikTok</t>
        </is>
      </c>
      <c r="D10" t="inlineStr">
        <is>
          <t>https://www.tiktok.com/@niolypolina/video/7692445554780966162</t>
        </is>
      </c>
      <c r="E10" t="inlineStr">
        <is>
          <t>Анастасия</t>
        </is>
      </c>
      <c r="F10" t="inlineStr">
        <is>
          <t>@niolypolina</t>
        </is>
      </c>
      <c r="G10" t="inlineStr">
        <is>
          <t xml:space="preserve">ТГК Nioly, ты как? Все это обязательно надо сделать перед кастингом в модельное агентство, пользуйтесь✨ #моделинг #модель #агент #селебрити #блогер </t>
        </is>
      </c>
      <c r="I10" t="inlineStr">
        <is>
          <t>да</t>
        </is>
      </c>
      <c r="K10" t="inlineStr">
        <is>
          <t>доступна (oEmbed)</t>
        </is>
      </c>
      <c r="L10" t="inlineStr">
        <is>
          <t>да</t>
        </is>
      </c>
      <c r="M10" t="inlineStr">
        <is>
          <t>рус</t>
        </is>
      </c>
      <c r="N10" t="inlineStr">
        <is>
          <t>да</t>
        </is>
      </c>
      <c r="O10" t="inlineStr">
        <is>
          <t>Красота и уход</t>
        </is>
      </c>
      <c r="P10" t="inlineStr">
        <is>
          <t>хорошее</t>
        </is>
      </c>
      <c r="Q10" t="inlineStr">
        <is>
          <t>Своя тема: кастинг агенство</t>
        </is>
      </c>
    </row>
    <row r="11">
      <c r="A11" t="n">
        <v>10</v>
      </c>
      <c r="B11" t="inlineStr">
        <is>
          <t>7694257728126078215</t>
        </is>
      </c>
      <c r="C11" t="inlineStr">
        <is>
          <t>TikTok</t>
        </is>
      </c>
      <c r="D11" t="inlineStr">
        <is>
          <t>https://www.tiktok.com/@bebrosechka/video/7694257728126078215</t>
        </is>
      </c>
      <c r="E11" t="inlineStr">
        <is>
          <t>Анастасия</t>
        </is>
      </c>
      <c r="F11" t="inlineStr">
        <is>
          <t>@bebrosechka</t>
        </is>
      </c>
      <c r="G11" t="inlineStr">
        <is>
          <t>Знак от Вселенной представляет собой любое случайное событие, фразу, цифру или совпадение, которому человек приписывает особый смысл и воспринимает как подсказку судьбы. В эзотерике и духовных практик</t>
        </is>
      </c>
      <c r="I11" t="inlineStr">
        <is>
          <t>да</t>
        </is>
      </c>
      <c r="K11" t="inlineStr">
        <is>
          <t>доступна (oEmbed)</t>
        </is>
      </c>
      <c r="L11" t="inlineStr">
        <is>
          <t>нет</t>
        </is>
      </c>
      <c r="M11" t="inlineStr">
        <is>
          <t>рус</t>
        </is>
      </c>
      <c r="N11" t="inlineStr">
        <is>
          <t>да</t>
        </is>
      </c>
      <c r="O11" t="inlineStr">
        <is>
          <t>Общество и политика</t>
        </is>
      </c>
      <c r="P11" t="inlineStr">
        <is>
          <t>только музыка</t>
        </is>
      </c>
      <c r="Q11" t="inlineStr">
        <is>
          <t>Своя тема: гендерное неравенство</t>
        </is>
      </c>
    </row>
    <row r="12">
      <c r="A12" t="n">
        <v>11</v>
      </c>
      <c r="B12" t="inlineStr">
        <is>
          <t>7693069044907314453</t>
        </is>
      </c>
      <c r="C12" t="inlineStr">
        <is>
          <t>TikTok</t>
        </is>
      </c>
      <c r="D12" t="inlineStr">
        <is>
          <t>https://www.tiktok.com/@culinary_boss/video/7693069044907314453</t>
        </is>
      </c>
      <c r="E12" t="inlineStr">
        <is>
          <t>Анастасия</t>
        </is>
      </c>
      <c r="F12" t="inlineStr">
        <is>
          <t>@culinary_boss</t>
        </is>
      </c>
      <c r="G12" t="inlineStr">
        <is>
          <t>Пряный американо со сливочной шапкой 😍🔥 Варю эспрессо в любимой кофеварке Demiand! Арт. WB (белая): WW286274 Арт. WB (черная): WW609011 Арт. OZON: 3392009371 Арт. Яндекс М: 5008360491 Эспрессо - 50 мл</t>
        </is>
      </c>
      <c r="I12" t="inlineStr">
        <is>
          <t>да</t>
        </is>
      </c>
      <c r="K12" t="inlineStr">
        <is>
          <t>доступна (oEmbed)</t>
        </is>
      </c>
      <c r="L12" t="inlineStr">
        <is>
          <t>нет</t>
        </is>
      </c>
      <c r="M12" t="inlineStr">
        <is>
          <t>рус</t>
        </is>
      </c>
      <c r="N12" t="inlineStr">
        <is>
          <t>да</t>
        </is>
      </c>
      <c r="O12" t="inlineStr">
        <is>
          <t>Еда и рецепты</t>
        </is>
      </c>
      <c r="P12" t="inlineStr">
        <is>
          <t>только музыка</t>
        </is>
      </c>
      <c r="Q12" t="inlineStr">
        <is>
          <t>Своя тема: рецепт кофе</t>
        </is>
      </c>
    </row>
    <row r="13">
      <c r="A13" t="n">
        <v>12</v>
      </c>
      <c r="B13" t="inlineStr">
        <is>
          <t>7694999379115101458</t>
        </is>
      </c>
      <c r="C13" t="inlineStr">
        <is>
          <t>TikTok</t>
        </is>
      </c>
      <c r="D13" t="inlineStr">
        <is>
          <t>https://www.tiktok.com/@alexaprostolegenda/video/7694999379115101458</t>
        </is>
      </c>
      <c r="E13" t="inlineStr">
        <is>
          <t>Анастасия</t>
        </is>
      </c>
      <c r="F13" t="inlineStr">
        <is>
          <t>@alexaprostolegenda</t>
        </is>
      </c>
      <c r="G13" t="inlineStr">
        <is>
          <t>Это большая боль. «Ничего не поменяется» «какой смысл» «борьба в пустую» да блять как вы не понимаете, что женщин тысячелетиями угнетали, и все равно не сломили. Если мы смогли добиться того, что есть</t>
        </is>
      </c>
      <c r="I13" t="inlineStr">
        <is>
          <t>да</t>
        </is>
      </c>
      <c r="K13" t="inlineStr">
        <is>
          <t>доступна (oEmbed)</t>
        </is>
      </c>
      <c r="L13" t="inlineStr">
        <is>
          <t>нет</t>
        </is>
      </c>
      <c r="M13" t="inlineStr">
        <is>
          <t>рус</t>
        </is>
      </c>
      <c r="N13" t="inlineStr">
        <is>
          <t>да</t>
        </is>
      </c>
      <c r="O13" t="inlineStr">
        <is>
          <t>Общество и политика</t>
        </is>
      </c>
      <c r="P13" t="inlineStr">
        <is>
          <t>только музыка</t>
        </is>
      </c>
      <c r="Q13" t="inlineStr">
        <is>
          <t>Своя тема: гендерное неравенство</t>
        </is>
      </c>
    </row>
    <row r="14">
      <c r="A14" t="n">
        <v>13</v>
      </c>
      <c r="B14" t="inlineStr">
        <is>
          <t>7687659564610620679</t>
        </is>
      </c>
      <c r="C14" t="inlineStr">
        <is>
          <t>TikTok</t>
        </is>
      </c>
      <c r="D14" t="inlineStr">
        <is>
          <t>https://www.tiktok.com/@yngouh/video/7687659564610620679</t>
        </is>
      </c>
      <c r="E14" t="inlineStr">
        <is>
          <t>Анастасия</t>
        </is>
      </c>
      <c r="F14" t="inlineStr">
        <is>
          <t>@yngouh</t>
        </is>
      </c>
      <c r="G14" t="inlineStr">
        <is>
          <t>Это 5 часть моей истории. Первые две про операцию, 1200 и 2000 мл. третья и четвертая про платных врачей, Минздрав и «сидите на катетеризации». эта - про то, как я перестаю ходить. Мне 18, я хожу с тр</t>
        </is>
      </c>
      <c r="I14" t="inlineStr">
        <is>
          <t>да</t>
        </is>
      </c>
      <c r="K14" t="inlineStr">
        <is>
          <t>доступна (oEmbed)</t>
        </is>
      </c>
      <c r="L14" t="inlineStr">
        <is>
          <t>да</t>
        </is>
      </c>
      <c r="M14" t="inlineStr">
        <is>
          <t>рус</t>
        </is>
      </c>
      <c r="N14" t="inlineStr">
        <is>
          <t>да</t>
        </is>
      </c>
      <c r="O14" t="inlineStr">
        <is>
          <t>Спорт и здоровье</t>
        </is>
      </c>
      <c r="P14" t="inlineStr">
        <is>
          <t>хорошее</t>
        </is>
      </c>
      <c r="Q14" t="inlineStr">
        <is>
          <t>Своя тема: болезнь</t>
        </is>
      </c>
    </row>
    <row r="15">
      <c r="A15" t="n">
        <v>14</v>
      </c>
      <c r="B15" t="inlineStr">
        <is>
          <t>7694817920488099079</t>
        </is>
      </c>
      <c r="C15" t="inlineStr">
        <is>
          <t>TikTok</t>
        </is>
      </c>
      <c r="D15" t="inlineStr">
        <is>
          <t>https://www.tiktok.com/@alexaprostolegenda/video/7694817920488099079</t>
        </is>
      </c>
      <c r="E15" t="inlineStr">
        <is>
          <t>Анастасия</t>
        </is>
      </c>
      <c r="F15" t="inlineStr">
        <is>
          <t>@alexaprostolegenda</t>
        </is>
      </c>
      <c r="G15" t="inlineStr">
        <is>
          <t xml:space="preserve">Не забывайте о том, что если бы месячные были у мужчин, в общественных туалетах были бы бесплатные прокладки </t>
        </is>
      </c>
      <c r="I15" t="inlineStr">
        <is>
          <t>да</t>
        </is>
      </c>
      <c r="K15" t="inlineStr">
        <is>
          <t>доступна (oEmbed)</t>
        </is>
      </c>
      <c r="L15" t="inlineStr">
        <is>
          <t>нет</t>
        </is>
      </c>
      <c r="M15" t="inlineStr">
        <is>
          <t>рус</t>
        </is>
      </c>
      <c r="N15" t="inlineStr">
        <is>
          <t>да</t>
        </is>
      </c>
      <c r="O15" t="inlineStr">
        <is>
          <t>Общество и политика</t>
        </is>
      </c>
      <c r="P15" t="inlineStr">
        <is>
          <t>только музыка</t>
        </is>
      </c>
      <c r="Q15" t="inlineStr">
        <is>
          <t>Своя тема: гендерное неравенство</t>
        </is>
      </c>
    </row>
    <row r="16">
      <c r="A16" t="n">
        <v>15</v>
      </c>
      <c r="B16" t="inlineStr">
        <is>
          <t>7694205879561882902</t>
        </is>
      </c>
      <c r="C16" t="inlineStr">
        <is>
          <t>TikTok</t>
        </is>
      </c>
      <c r="D16" t="inlineStr">
        <is>
          <t>https://www.tiktok.com/@kseniia.fit/video/7694205879561882902</t>
        </is>
      </c>
      <c r="E16" t="inlineStr">
        <is>
          <t>Анастасия</t>
        </is>
      </c>
      <c r="F16" t="inlineStr">
        <is>
          <t>@kseniia.fit</t>
        </is>
      </c>
      <c r="G16" t="inlineStr">
        <is>
          <t xml:space="preserve">Тренировка новичку в зале или дома . Выполняй каждое упражнение 3 подхода 10-12 раз #суперзав #техникаупражнений #тренировка #тренировкановичку #новичкам </t>
        </is>
      </c>
      <c r="I16" t="inlineStr">
        <is>
          <t>да</t>
        </is>
      </c>
      <c r="K16" t="inlineStr">
        <is>
          <t>доступна (oEmbed)</t>
        </is>
      </c>
      <c r="L16" t="inlineStr">
        <is>
          <t>да</t>
        </is>
      </c>
      <c r="M16" t="inlineStr">
        <is>
          <t>рус</t>
        </is>
      </c>
      <c r="N16" t="inlineStr">
        <is>
          <t>да</t>
        </is>
      </c>
      <c r="O16" t="inlineStr">
        <is>
          <t>Спорт и здоровье</t>
        </is>
      </c>
      <c r="P16" t="inlineStr">
        <is>
          <t>хорошее</t>
        </is>
      </c>
      <c r="Q16" t="inlineStr">
        <is>
          <t>Своя тема: спортзал</t>
        </is>
      </c>
    </row>
    <row r="17">
      <c r="A17" t="n">
        <v>16</v>
      </c>
      <c r="B17" t="inlineStr">
        <is>
          <t>7693535996193049877</t>
        </is>
      </c>
      <c r="C17" t="inlineStr">
        <is>
          <t>TikTok</t>
        </is>
      </c>
      <c r="D17" t="inlineStr">
        <is>
          <t>https://www.tiktok.com/@withoutndsss/video/7693535996193049877</t>
        </is>
      </c>
      <c r="E17" t="inlineStr">
        <is>
          <t>Анастасия</t>
        </is>
      </c>
      <c r="F17" t="inlineStr">
        <is>
          <t>@withoutndsss</t>
        </is>
      </c>
      <c r="G17" t="inlineStr">
        <is>
          <t xml:space="preserve">История и персонажи выдуманы. Все совпадения с реальными людьми или ситуациями случайны. Это плод моих фантазий </t>
        </is>
      </c>
      <c r="I17" t="inlineStr">
        <is>
          <t>да</t>
        </is>
      </c>
      <c r="K17" t="inlineStr">
        <is>
          <t>доступна (oEmbed)</t>
        </is>
      </c>
      <c r="L17" t="inlineStr">
        <is>
          <t>да</t>
        </is>
      </c>
      <c r="M17" t="inlineStr">
        <is>
          <t>рус</t>
        </is>
      </c>
      <c r="N17" t="inlineStr">
        <is>
          <t>да</t>
        </is>
      </c>
      <c r="O17" t="inlineStr">
        <is>
          <t>Психология и отношения</t>
        </is>
      </c>
      <c r="P17" t="inlineStr">
        <is>
          <t>хорошее</t>
        </is>
      </c>
      <c r="Q17" t="inlineStr">
        <is>
          <t>Своя тема: отношения</t>
        </is>
      </c>
    </row>
    <row r="18">
      <c r="A18" t="n">
        <v>17</v>
      </c>
      <c r="B18" t="inlineStr">
        <is>
          <t>7694414883911240974</t>
        </is>
      </c>
      <c r="C18" t="inlineStr">
        <is>
          <t>TikTok</t>
        </is>
      </c>
      <c r="D18" t="inlineStr">
        <is>
          <t>https://www.tiktok.com/@arbyzik803/video/7694414883911240974</t>
        </is>
      </c>
      <c r="E18" t="inlineStr">
        <is>
          <t>Анастасия</t>
        </is>
      </c>
      <c r="F18" t="inlineStr">
        <is>
          <t>@arbyzik803</t>
        </is>
      </c>
      <c r="G18" t="inlineStr">
        <is>
          <t>Zhanulka — ток, Жанулька — украинская певица и автор песен, настоящее имя — Жанна Шаталова. Она родилась в 2004 году в Донецке, позже переехала в Киев, а затем в Испанию. В подростковом возрасте начал</t>
        </is>
      </c>
      <c r="I18" t="inlineStr">
        <is>
          <t>да</t>
        </is>
      </c>
      <c r="K18" t="inlineStr">
        <is>
          <t>доступна (oEmbed)</t>
        </is>
      </c>
      <c r="L18" t="inlineStr">
        <is>
          <t>нет</t>
        </is>
      </c>
      <c r="M18" t="inlineStr">
        <is>
          <t>рус</t>
        </is>
      </c>
      <c r="N18" t="inlineStr">
        <is>
          <t>да</t>
        </is>
      </c>
      <c r="O18" t="inlineStr">
        <is>
          <t>Музыка и танцы</t>
        </is>
      </c>
      <c r="P18" t="inlineStr">
        <is>
          <t>только музыка</t>
        </is>
      </c>
      <c r="Q18" t="inlineStr">
        <is>
          <t>Своя тема: музыка</t>
        </is>
      </c>
    </row>
    <row r="19">
      <c r="A19" t="n">
        <v>18</v>
      </c>
      <c r="B19" t="inlineStr">
        <is>
          <t>7694613556007898388</t>
        </is>
      </c>
      <c r="C19" t="inlineStr">
        <is>
          <t>TikTok</t>
        </is>
      </c>
      <c r="D19" t="inlineStr">
        <is>
          <t>https://www.tiktok.com/@larax33_/video/7694613556007898388</t>
        </is>
      </c>
      <c r="E19" t="inlineStr">
        <is>
          <t>Анастасия</t>
        </is>
      </c>
      <c r="F19" t="inlineStr">
        <is>
          <t>@larax33_</t>
        </is>
      </c>
      <c r="G19" t="inlineStr">
        <is>
          <t xml:space="preserve">У меня этот бас бас бас донбас уже 4 раз в рекомендациях попадается, у меня деградацмя начинается #няшкакотикумри #яненяшкакотик </t>
        </is>
      </c>
      <c r="I19" t="inlineStr">
        <is>
          <t>да</t>
        </is>
      </c>
      <c r="K19" t="inlineStr">
        <is>
          <t>доступна (oEmbed)</t>
        </is>
      </c>
      <c r="L19" t="inlineStr">
        <is>
          <t>нет</t>
        </is>
      </c>
      <c r="M19" t="inlineStr">
        <is>
          <t>рус</t>
        </is>
      </c>
      <c r="N19" t="inlineStr">
        <is>
          <t>да</t>
        </is>
      </c>
      <c r="O19" t="inlineStr">
        <is>
          <t>Общество и политика</t>
        </is>
      </c>
      <c r="P19" t="inlineStr">
        <is>
          <t>только музыка</t>
        </is>
      </c>
      <c r="Q19" t="inlineStr">
        <is>
          <t>Своя тема: политика</t>
        </is>
      </c>
    </row>
    <row r="20">
      <c r="A20" t="n">
        <v>19</v>
      </c>
      <c r="B20" t="inlineStr">
        <is>
          <t>7693518441445068054</t>
        </is>
      </c>
      <c r="C20" t="inlineStr">
        <is>
          <t>TikTok</t>
        </is>
      </c>
      <c r="D20" t="inlineStr">
        <is>
          <t>https://www.tiktok.com/@kseniia.fit/video/7693518441445068054</t>
        </is>
      </c>
      <c r="E20" t="inlineStr">
        <is>
          <t>Анастасия</t>
        </is>
      </c>
      <c r="F20" t="inlineStr">
        <is>
          <t>@kseniia.fit</t>
        </is>
      </c>
      <c r="G20" t="inlineStr">
        <is>
          <t xml:space="preserve">Распаковка для ленивых 😁 кто так же ? #суперзав #техникаупражнений #распаковка #распаковкаобуви #кардио </t>
        </is>
      </c>
      <c r="I20" t="inlineStr">
        <is>
          <t>да</t>
        </is>
      </c>
      <c r="K20" t="inlineStr">
        <is>
          <t>доступна (oEmbed)</t>
        </is>
      </c>
      <c r="L20" t="inlineStr">
        <is>
          <t>да</t>
        </is>
      </c>
      <c r="M20" t="inlineStr">
        <is>
          <t>рус</t>
        </is>
      </c>
      <c r="N20" t="inlineStr">
        <is>
          <t>да</t>
        </is>
      </c>
      <c r="O20" t="inlineStr">
        <is>
          <t>Спорт и здоровье</t>
        </is>
      </c>
      <c r="P20" t="inlineStr">
        <is>
          <t>хорошее</t>
        </is>
      </c>
      <c r="Q20" t="inlineStr">
        <is>
          <t>Своя тема: распаковка спортивных вещей</t>
        </is>
      </c>
    </row>
    <row r="21">
      <c r="A21" t="n">
        <v>20</v>
      </c>
      <c r="B21" t="inlineStr">
        <is>
          <t>7694823969664355602</t>
        </is>
      </c>
      <c r="C21" t="inlineStr">
        <is>
          <t>TikTok</t>
        </is>
      </c>
      <c r="D21" t="inlineStr">
        <is>
          <t>https://www.tiktok.com/@laurochka_fit/video/7694823969664355602</t>
        </is>
      </c>
      <c r="E21" t="inlineStr">
        <is>
          <t>Анастасия</t>
        </is>
      </c>
      <c r="F21" t="inlineStr">
        <is>
          <t>@laurochka_fit</t>
        </is>
      </c>
      <c r="G21" t="inlineStr">
        <is>
          <t>Две тренировки в неделю - это мало? А четыре, из которых ты постоянно пропускаешь две, это много? 😁 Мы часто пытаемся подстроить свою жизнь под идеальную программу. Хотя работать должно наоборот. Рабо</t>
        </is>
      </c>
      <c r="I21" t="inlineStr">
        <is>
          <t>да</t>
        </is>
      </c>
      <c r="K21" t="inlineStr">
        <is>
          <t>доступна (oEmbed)</t>
        </is>
      </c>
      <c r="L21" t="inlineStr">
        <is>
          <t>да</t>
        </is>
      </c>
      <c r="M21" t="inlineStr">
        <is>
          <t>рус</t>
        </is>
      </c>
      <c r="N21" t="inlineStr">
        <is>
          <t>да</t>
        </is>
      </c>
      <c r="O21" t="inlineStr">
        <is>
          <t>Спорт и здоровье</t>
        </is>
      </c>
      <c r="P21" t="inlineStr">
        <is>
          <t>среднее</t>
        </is>
      </c>
      <c r="Q21" t="inlineStr">
        <is>
          <t>Своя тема: спортзал</t>
        </is>
      </c>
    </row>
    <row r="22">
      <c r="A22" t="n">
        <v>21</v>
      </c>
      <c r="B22" t="inlineStr">
        <is>
          <t>7694705815604743432</t>
        </is>
      </c>
      <c r="C22" t="inlineStr">
        <is>
          <t>TikTok</t>
        </is>
      </c>
      <c r="D22" t="inlineStr">
        <is>
          <t>https://www.tiktok.com/@mahahatrr/video/7694705815604743432</t>
        </is>
      </c>
      <c r="E22" t="inlineStr">
        <is>
          <t>Анастасия</t>
        </is>
      </c>
      <c r="F22" t="inlineStr">
        <is>
          <t>@mahahatrr</t>
        </is>
      </c>
      <c r="G22" t="inlineStr">
        <is>
          <t>очень хочу в группу убийцы на барабаны отмечайте @Егор Древлянин  #убийцы #саратов #древлянин #барабанщица #маха</t>
        </is>
      </c>
      <c r="I22" t="inlineStr">
        <is>
          <t>да</t>
        </is>
      </c>
      <c r="K22" t="inlineStr">
        <is>
          <t>доступна (oEmbed)</t>
        </is>
      </c>
      <c r="L22" t="inlineStr">
        <is>
          <t>нет</t>
        </is>
      </c>
      <c r="M22" t="inlineStr">
        <is>
          <t>нет речи</t>
        </is>
      </c>
      <c r="N22" t="inlineStr">
        <is>
          <t>нет</t>
        </is>
      </c>
      <c r="O22" t="inlineStr">
        <is>
          <t>Музыка и танцы</t>
        </is>
      </c>
      <c r="P22" t="inlineStr">
        <is>
          <t>только музыка</t>
        </is>
      </c>
      <c r="Q22" t="inlineStr">
        <is>
          <t>Своя тема: музыка</t>
        </is>
      </c>
    </row>
    <row r="23">
      <c r="A23" t="n">
        <v>22</v>
      </c>
      <c r="B23" t="inlineStr">
        <is>
          <t>7694685667107900694</t>
        </is>
      </c>
      <c r="C23" t="inlineStr">
        <is>
          <t>TikTok</t>
        </is>
      </c>
      <c r="D23" t="inlineStr">
        <is>
          <t>https://www.tiktok.com/@7x7_horizontal_russia/video/7694685667107900694</t>
        </is>
      </c>
      <c r="E23" t="inlineStr">
        <is>
          <t>Анастасия</t>
        </is>
      </c>
      <c r="F23" t="inlineStr">
        <is>
          <t>@7x7_horizontal_russia</t>
        </is>
      </c>
      <c r="G23" t="inlineStr">
        <is>
          <t xml:space="preserve">В Красноярске медики двух роддомов протестуют против их закрытия. Они собирают подписи, записывают обращения к Путину и пытаются добиться отмены решений местного Минздрава. Журналистка «7х7» Светлана </t>
        </is>
      </c>
      <c r="I23" t="inlineStr">
        <is>
          <t>да</t>
        </is>
      </c>
      <c r="K23" t="inlineStr">
        <is>
          <t>доступна (oEmbed)</t>
        </is>
      </c>
      <c r="L23" t="inlineStr">
        <is>
          <t>да</t>
        </is>
      </c>
      <c r="M23" t="inlineStr">
        <is>
          <t>рус</t>
        </is>
      </c>
      <c r="N23" t="inlineStr">
        <is>
          <t>да</t>
        </is>
      </c>
      <c r="O23" t="inlineStr">
        <is>
          <t>Общество и политика</t>
        </is>
      </c>
      <c r="P23" t="inlineStr">
        <is>
          <t>среднее</t>
        </is>
      </c>
      <c r="Q23" t="inlineStr">
        <is>
          <t>Своя тема: социальные проблемы</t>
        </is>
      </c>
    </row>
    <row r="24">
      <c r="A24" t="n">
        <v>23</v>
      </c>
      <c r="B24" t="inlineStr">
        <is>
          <t>7686867732356238624</t>
        </is>
      </c>
      <c r="C24" t="inlineStr">
        <is>
          <t>TikTok</t>
        </is>
      </c>
      <c r="D24" t="inlineStr">
        <is>
          <t>https://www.tiktok.com/@missyoureyes17/video/7686867732356238624</t>
        </is>
      </c>
      <c r="E24" t="inlineStr">
        <is>
          <t>Анастасия</t>
        </is>
      </c>
      <c r="F24" t="inlineStr">
        <is>
          <t>@missyoureyes17</t>
        </is>
      </c>
      <c r="G24" t="inlineStr">
        <is>
          <t>Скучать — это иногда открыть переписку просто посмотреть на имя, переслушать голосовое, зайти на страницу или вспомнить какой-то момент, хотя прекрасно понимаешь, что от этого станет только тяжелее. Э</t>
        </is>
      </c>
      <c r="I24" t="inlineStr">
        <is>
          <t>да</t>
        </is>
      </c>
      <c r="K24" t="inlineStr">
        <is>
          <t>доступна (oEmbed)</t>
        </is>
      </c>
      <c r="L24" t="inlineStr">
        <is>
          <t>нет</t>
        </is>
      </c>
      <c r="M24" t="inlineStr">
        <is>
          <t>рус</t>
        </is>
      </c>
      <c r="N24" t="inlineStr">
        <is>
          <t>да</t>
        </is>
      </c>
      <c r="O24" t="inlineStr">
        <is>
          <t>Психология и отношения</t>
        </is>
      </c>
      <c r="P24" t="inlineStr">
        <is>
          <t>только музыка</t>
        </is>
      </c>
      <c r="Q24" t="inlineStr">
        <is>
          <t>Своя тема: отношения</t>
        </is>
      </c>
    </row>
    <row r="25">
      <c r="A25" t="n">
        <v>24</v>
      </c>
      <c r="B25" t="inlineStr">
        <is>
          <t>7694341494894775585</t>
        </is>
      </c>
      <c r="C25" t="inlineStr">
        <is>
          <t>TikTok</t>
        </is>
      </c>
      <c r="D25" t="inlineStr">
        <is>
          <t>https://www.tiktok.com/@tanyabranding/video/7694341494894775585</t>
        </is>
      </c>
      <c r="E25" t="inlineStr">
        <is>
          <t>Анастасия</t>
        </is>
      </c>
      <c r="F25" t="inlineStr">
        <is>
          <t>@tanyabranding</t>
        </is>
      </c>
      <c r="G25" t="inlineStr">
        <is>
          <t>Для мужчин голос женщины - «белый шум».  Общество веками тренировало восприятие: низкий, монотонный баритон считывается как «спокойствие, авторитет и уверенность», а более высокий, динамичный тембр ка</t>
        </is>
      </c>
      <c r="I25" t="inlineStr">
        <is>
          <t>да</t>
        </is>
      </c>
      <c r="K25" t="inlineStr">
        <is>
          <t>доступна (oEmbed)</t>
        </is>
      </c>
      <c r="L25" t="inlineStr">
        <is>
          <t>да</t>
        </is>
      </c>
      <c r="M25" t="inlineStr">
        <is>
          <t>рус</t>
        </is>
      </c>
      <c r="N25" t="inlineStr">
        <is>
          <t>да</t>
        </is>
      </c>
      <c r="O25" t="inlineStr">
        <is>
          <t>Общество и политика</t>
        </is>
      </c>
      <c r="P25" t="inlineStr">
        <is>
          <t>хорошее</t>
        </is>
      </c>
      <c r="Q25" t="inlineStr">
        <is>
          <t>Своя тема: социальные проблемы</t>
        </is>
      </c>
    </row>
    <row r="26">
      <c r="A26" t="n">
        <v>25</v>
      </c>
      <c r="B26" t="inlineStr">
        <is>
          <t>7693907470137281824</t>
        </is>
      </c>
      <c r="C26" t="inlineStr">
        <is>
          <t>TikTok</t>
        </is>
      </c>
      <c r="D26" t="inlineStr">
        <is>
          <t>https://www.tiktok.com/@lizangelwingz/video/7693907470137281824</t>
        </is>
      </c>
      <c r="E26" t="inlineStr">
        <is>
          <t>Анастасия</t>
        </is>
      </c>
      <c r="F26" t="inlineStr">
        <is>
          <t>@lizangelwingz</t>
        </is>
      </c>
      <c r="G26" t="inlineStr">
        <is>
          <t xml:space="preserve">Тг ЛИЗА БАТОРИ🩵ответила на долгожданный вопрос приятного аппетита #житуха #еда #рацион #пп #дружба </t>
        </is>
      </c>
      <c r="I26" t="inlineStr">
        <is>
          <t>да</t>
        </is>
      </c>
      <c r="K26" t="inlineStr">
        <is>
          <t>доступна (oEmbed)</t>
        </is>
      </c>
      <c r="L26" t="inlineStr">
        <is>
          <t>да</t>
        </is>
      </c>
      <c r="M26" t="inlineStr">
        <is>
          <t>рус</t>
        </is>
      </c>
      <c r="N26" t="inlineStr">
        <is>
          <t>да</t>
        </is>
      </c>
      <c r="O26" t="inlineStr">
        <is>
          <t>Еда и рецепты</t>
        </is>
      </c>
      <c r="P26" t="inlineStr">
        <is>
          <t>хорошее</t>
        </is>
      </c>
      <c r="Q26" t="inlineStr">
        <is>
          <t>Своя тема: еда</t>
        </is>
      </c>
    </row>
    <row r="27">
      <c r="A27" t="n">
        <v>26</v>
      </c>
      <c r="B27" t="inlineStr">
        <is>
          <t>7694643933934095649</t>
        </is>
      </c>
      <c r="C27" t="inlineStr">
        <is>
          <t>TikTok</t>
        </is>
      </c>
      <c r="D27" t="inlineStr">
        <is>
          <t>https://www.tiktok.com/@tensor_pn/video/7694643933934095649</t>
        </is>
      </c>
      <c r="E27" t="inlineStr">
        <is>
          <t>Анастасия</t>
        </is>
      </c>
      <c r="F27" t="inlineStr">
        <is>
          <t>@tensor_pn</t>
        </is>
      </c>
      <c r="G27" t="inlineStr">
        <is>
          <t>🚨ВПН В ПРОФИЛЕ В России действует Федеральный закон № 281-ФЗ от 31.07.2025. Он накладывает административная ответственность за умышленный поиск и просмотр экстремистских материалов в интернете. #впн #</t>
        </is>
      </c>
      <c r="I27" t="inlineStr">
        <is>
          <t>да</t>
        </is>
      </c>
      <c r="K27" t="inlineStr">
        <is>
          <t>доступна (oEmbed)</t>
        </is>
      </c>
      <c r="L27" t="inlineStr">
        <is>
          <t>да</t>
        </is>
      </c>
      <c r="M27" t="inlineStr">
        <is>
          <t>рус</t>
        </is>
      </c>
      <c r="N27" t="inlineStr">
        <is>
          <t>да</t>
        </is>
      </c>
      <c r="O27" t="inlineStr">
        <is>
          <t>Общество и политика</t>
        </is>
      </c>
      <c r="P27" t="inlineStr">
        <is>
          <t>хорошее</t>
        </is>
      </c>
      <c r="Q27" t="inlineStr">
        <is>
          <t>Своя тема: ограничения инета</t>
        </is>
      </c>
    </row>
    <row r="28">
      <c r="A28" t="n">
        <v>27</v>
      </c>
      <c r="B28" t="inlineStr">
        <is>
          <t>7694615756268473608</t>
        </is>
      </c>
      <c r="C28" t="inlineStr">
        <is>
          <t>TikTok</t>
        </is>
      </c>
      <c r="D28" t="inlineStr">
        <is>
          <t>https://www.tiktok.com/@bebrosechka/video/7694615756268473608</t>
        </is>
      </c>
      <c r="E28" t="inlineStr">
        <is>
          <t>Анастасия</t>
        </is>
      </c>
      <c r="F28" t="inlineStr">
        <is>
          <t>@bebrosechka</t>
        </is>
      </c>
      <c r="G28" t="inlineStr">
        <is>
          <t xml:space="preserve">Фраза «думай как мужчина» обычно означает предложение использовать стереотипно мужской, рациональный и прямолинейный подход к решению проблем, полностью отключив лишние эмоции. В повседневном общении </t>
        </is>
      </c>
      <c r="I28" t="inlineStr">
        <is>
          <t>да</t>
        </is>
      </c>
      <c r="K28" t="inlineStr">
        <is>
          <t>доступна (oEmbed)</t>
        </is>
      </c>
      <c r="L28" t="inlineStr">
        <is>
          <t>нет</t>
        </is>
      </c>
      <c r="M28" t="inlineStr">
        <is>
          <t>рус</t>
        </is>
      </c>
      <c r="N28" t="inlineStr">
        <is>
          <t>да</t>
        </is>
      </c>
      <c r="O28" t="inlineStr">
        <is>
          <t>Общество и политика</t>
        </is>
      </c>
      <c r="P28" t="inlineStr">
        <is>
          <t>только музыка</t>
        </is>
      </c>
      <c r="Q28" t="inlineStr">
        <is>
          <t>Своя тема: гендерное неравенство</t>
        </is>
      </c>
    </row>
    <row r="29">
      <c r="A29" t="n">
        <v>28</v>
      </c>
      <c r="B29" t="inlineStr">
        <is>
          <t>7693491403837558034</t>
        </is>
      </c>
      <c r="C29" t="inlineStr">
        <is>
          <t>TikTok</t>
        </is>
      </c>
      <c r="D29" t="inlineStr">
        <is>
          <t>https://www.tiktok.com/@sk1ns09/video/7693491403837558034</t>
        </is>
      </c>
      <c r="E29" t="inlineStr">
        <is>
          <t>Анастасия</t>
        </is>
      </c>
      <c r="F29" t="inlineStr">
        <is>
          <t>@sk1ns09</t>
        </is>
      </c>
      <c r="G29" t="inlineStr">
        <is>
          <t>Вы Джейн Доу, я Джейн Доу, а вот имена всех 57 человек (на английском, к сожалению) Andrew Hage, Henry Malarkey,Evan Beyers, Johnny Lewis, Matt Luebke, Andrew Solnik, Bennet Mccomb, Danny Rusk, Luke V</t>
        </is>
      </c>
      <c r="I29" t="inlineStr">
        <is>
          <t>да</t>
        </is>
      </c>
      <c r="K29" t="inlineStr">
        <is>
          <t>доступна (oEmbed)</t>
        </is>
      </c>
      <c r="L29" t="inlineStr">
        <is>
          <t>нет</t>
        </is>
      </c>
      <c r="M29" t="inlineStr">
        <is>
          <t>рус</t>
        </is>
      </c>
      <c r="N29" t="inlineStr">
        <is>
          <t>да</t>
        </is>
      </c>
      <c r="O29" t="inlineStr">
        <is>
          <t>Общество и политика</t>
        </is>
      </c>
      <c r="P29" t="inlineStr">
        <is>
          <t>только музыка</t>
        </is>
      </c>
      <c r="Q29" t="inlineStr">
        <is>
          <t>Своя тема: социальные проблемы</t>
        </is>
      </c>
    </row>
    <row r="30">
      <c r="A30" t="n">
        <v>29</v>
      </c>
      <c r="B30" t="inlineStr">
        <is>
          <t>7694204014317014305</t>
        </is>
      </c>
      <c r="C30" t="inlineStr">
        <is>
          <t>TikTok</t>
        </is>
      </c>
      <c r="D30" t="inlineStr">
        <is>
          <t>https://www.tiktok.com/@khurievsk1/video/7694204014317014305</t>
        </is>
      </c>
      <c r="E30" t="inlineStr">
        <is>
          <t>Анастасия</t>
        </is>
      </c>
      <c r="F30" t="inlineStr">
        <is>
          <t>@khurievsk1</t>
        </is>
      </c>
      <c r="G30" t="inlineStr">
        <is>
          <t>#fyp #fy #трейдинг  Тут другие правила 1. вам ничего не продают. ни чему не обучают. Только непрошенные советы. 2. у меня открыта ссылка на основу в тгк — написать и спросить что угодно может любой, в</t>
        </is>
      </c>
      <c r="I30" t="inlineStr">
        <is>
          <t>да</t>
        </is>
      </c>
      <c r="K30" t="inlineStr">
        <is>
          <t>доступна (oEmbed)</t>
        </is>
      </c>
      <c r="L30" t="inlineStr">
        <is>
          <t>нет</t>
        </is>
      </c>
      <c r="M30" t="inlineStr">
        <is>
          <t>рус</t>
        </is>
      </c>
      <c r="N30" t="inlineStr">
        <is>
          <t>да</t>
        </is>
      </c>
      <c r="O30" t="inlineStr">
        <is>
          <t>Юмор и мемы</t>
        </is>
      </c>
      <c r="P30" t="inlineStr">
        <is>
          <t>только музыка</t>
        </is>
      </c>
      <c r="Q30" t="inlineStr">
        <is>
          <t>Своя тема: юмор про работу заграницей/политика</t>
        </is>
      </c>
    </row>
    <row r="31">
      <c r="A31" t="n">
        <v>30</v>
      </c>
      <c r="B31" t="inlineStr">
        <is>
          <t>7693586141785705749</t>
        </is>
      </c>
      <c r="C31" t="inlineStr">
        <is>
          <t>TikTok</t>
        </is>
      </c>
      <c r="D31" t="inlineStr">
        <is>
          <t>https://www.tiktok.com/@depersonalizacia11/video/7693586141785705749</t>
        </is>
      </c>
      <c r="E31" t="inlineStr">
        <is>
          <t>Анастасия</t>
        </is>
      </c>
      <c r="F31" t="inlineStr">
        <is>
          <t>@depersonalizacia11</t>
        </is>
      </c>
      <c r="G31" t="inlineStr">
        <is>
          <t xml:space="preserve">рецепт: крошка картошка ИНГРЕДИЕНТЫ: картофель  батат (по желанию) петрушка колбаса сыр маринованные огурцы греческий йогурт майонез #рецепт #еда #макулатура #нейтдиаз #крошкакартошка </t>
        </is>
      </c>
      <c r="I31" t="inlineStr">
        <is>
          <t>да</t>
        </is>
      </c>
      <c r="K31" t="inlineStr">
        <is>
          <t>доступна (oEmbed)</t>
        </is>
      </c>
      <c r="L31" t="inlineStr">
        <is>
          <t>нет</t>
        </is>
      </c>
      <c r="M31" t="inlineStr">
        <is>
          <t>рус</t>
        </is>
      </c>
      <c r="N31" t="inlineStr">
        <is>
          <t>да</t>
        </is>
      </c>
      <c r="O31" t="inlineStr">
        <is>
          <t>Еда и рецепты</t>
        </is>
      </c>
      <c r="P31" t="inlineStr">
        <is>
          <t>только музыка</t>
        </is>
      </c>
      <c r="Q31" t="inlineStr">
        <is>
          <t>Своя тема: рецепт в виде песни; чел сам поет</t>
        </is>
      </c>
    </row>
    <row r="32">
      <c r="A32" t="n">
        <v>31</v>
      </c>
      <c r="B32" t="inlineStr">
        <is>
          <t>7694335425648790807</t>
        </is>
      </c>
      <c r="C32" t="inlineStr">
        <is>
          <t>TikTok</t>
        </is>
      </c>
      <c r="D32" t="inlineStr">
        <is>
          <t>https://www.tiktok.com/@xeni.fit/video/7694335425648790807</t>
        </is>
      </c>
      <c r="E32" t="inlineStr">
        <is>
          <t>Анастасия</t>
        </is>
      </c>
      <c r="F32" t="inlineStr">
        <is>
          <t>@xeni.fit</t>
        </is>
      </c>
      <c r="G32" t="inlineStr">
        <is>
          <t>Ладно, конечно, количество повторений тоже имеет значение 😅 Но магической цифры, после которой мышцы вдруг начинают расти, нет. Можно эффективно тренироваться и на 10, и на 15, и на 20 повторений, есл</t>
        </is>
      </c>
      <c r="I32" t="inlineStr">
        <is>
          <t>да</t>
        </is>
      </c>
      <c r="K32" t="inlineStr">
        <is>
          <t>доступна (oEmbed)</t>
        </is>
      </c>
      <c r="L32" t="inlineStr">
        <is>
          <t>нет</t>
        </is>
      </c>
      <c r="M32" t="inlineStr">
        <is>
          <t>нет речи</t>
        </is>
      </c>
      <c r="N32" t="inlineStr">
        <is>
          <t>да</t>
        </is>
      </c>
      <c r="O32" t="inlineStr">
        <is>
          <t>Спорт и здоровье</t>
        </is>
      </c>
      <c r="P32" t="inlineStr">
        <is>
          <t>только музыка</t>
        </is>
      </c>
      <c r="Q32" t="inlineStr">
        <is>
          <t>Своя тема: спортзал; по проверке ASR (MEM-16) речи нет</t>
        </is>
      </c>
    </row>
    <row r="33">
      <c r="A33" t="n">
        <v>32</v>
      </c>
      <c r="B33" t="inlineStr">
        <is>
          <t>7694017064805158152</t>
        </is>
      </c>
      <c r="C33" t="inlineStr">
        <is>
          <t>TikTok</t>
        </is>
      </c>
      <c r="D33" t="inlineStr">
        <is>
          <t>https://www.tiktok.com/@calistoime/video/7694017064805158152</t>
        </is>
      </c>
      <c r="E33" t="inlineStr">
        <is>
          <t>Анастасия</t>
        </is>
      </c>
      <c r="F33" t="inlineStr">
        <is>
          <t>@calistoime</t>
        </is>
      </c>
      <c r="G33" t="inlineStr">
        <is>
          <t>Только на первую пару я не хочу на лекцию по комп тех , так как ее я лучше разбираю сама . На ужин мы кушали курицу с макаронами #физмат#влог#мфти#фркт#жизнь</t>
        </is>
      </c>
      <c r="I33" t="inlineStr">
        <is>
          <t>да</t>
        </is>
      </c>
      <c r="K33" t="inlineStr">
        <is>
          <t>доступна (oEmbed)</t>
        </is>
      </c>
      <c r="L33" t="inlineStr">
        <is>
          <t>да</t>
        </is>
      </c>
      <c r="M33" t="inlineStr">
        <is>
          <t>рус</t>
        </is>
      </c>
      <c r="N33" t="inlineStr">
        <is>
          <t>да</t>
        </is>
      </c>
      <c r="O33" t="inlineStr">
        <is>
          <t>Учёба и IT</t>
        </is>
      </c>
      <c r="P33" t="inlineStr">
        <is>
          <t>хорошее</t>
        </is>
      </c>
      <c r="Q33" t="inlineStr">
        <is>
          <t>Своя тема: влог учеба</t>
        </is>
      </c>
    </row>
    <row r="34">
      <c r="A34" t="n">
        <v>33</v>
      </c>
      <c r="B34" t="inlineStr">
        <is>
          <t>7693511639026371873</t>
        </is>
      </c>
      <c r="C34" t="inlineStr">
        <is>
          <t>TikTok</t>
        </is>
      </c>
      <c r="D34" t="inlineStr">
        <is>
          <t>https://www.tiktok.com/@tensor_pn/video/7693511639026371873</t>
        </is>
      </c>
      <c r="E34" t="inlineStr">
        <is>
          <t>Анастасия</t>
        </is>
      </c>
      <c r="F34" t="inlineStr">
        <is>
          <t>@tensor_pn</t>
        </is>
      </c>
      <c r="G34" t="inlineStr">
        <is>
          <t>ВПН В ПРОФИЛЕ. Tensor VPN использует технологию multihop. Благодаря этому РКН понадобиться специально вычислять ip всех наших серверов, что делается только для ведущих крупных сервисов, тогда как серв</t>
        </is>
      </c>
      <c r="I34" t="inlineStr">
        <is>
          <t>да</t>
        </is>
      </c>
      <c r="K34" t="inlineStr">
        <is>
          <t>доступна (oEmbed)</t>
        </is>
      </c>
      <c r="L34" t="inlineStr">
        <is>
          <t>да</t>
        </is>
      </c>
      <c r="M34" t="inlineStr">
        <is>
          <t>рус</t>
        </is>
      </c>
      <c r="N34" t="inlineStr">
        <is>
          <t>да</t>
        </is>
      </c>
      <c r="O34" t="inlineStr">
        <is>
          <t>Лайфхаки и быт</t>
        </is>
      </c>
      <c r="P34" t="inlineStr">
        <is>
          <t>хорошее</t>
        </is>
      </c>
      <c r="Q34" t="inlineStr">
        <is>
          <t>Своя тема: впн</t>
        </is>
      </c>
    </row>
    <row r="35">
      <c r="A35" t="n">
        <v>34</v>
      </c>
      <c r="B35" t="inlineStr">
        <is>
          <t>7693994604885970190</t>
        </is>
      </c>
      <c r="C35" t="inlineStr">
        <is>
          <t>TikTok</t>
        </is>
      </c>
      <c r="D35" t="inlineStr">
        <is>
          <t>https://www.tiktok.com/@zhvachkam/video/7693994604885970190</t>
        </is>
      </c>
      <c r="E35" t="inlineStr">
        <is>
          <t>Анастасия</t>
        </is>
      </c>
      <c r="F35" t="inlineStr">
        <is>
          <t>@zhvachkam</t>
        </is>
      </c>
      <c r="G35" t="inlineStr">
        <is>
          <t>В неполной семье мать смотрит на дочь не как на «маленького принцессу», а как на конкурента, эмоциональное ведро или ресурсодателя. Но СЫНА одинокая женщина подсознательно ставит сына на место «главно</t>
        </is>
      </c>
      <c r="I35" t="inlineStr">
        <is>
          <t>да</t>
        </is>
      </c>
      <c r="K35" t="inlineStr">
        <is>
          <t>доступна (oEmbed)</t>
        </is>
      </c>
      <c r="L35" t="inlineStr">
        <is>
          <t>нет</t>
        </is>
      </c>
      <c r="M35" t="inlineStr">
        <is>
          <t>рус</t>
        </is>
      </c>
      <c r="N35" t="inlineStr">
        <is>
          <t>да</t>
        </is>
      </c>
      <c r="O35" t="inlineStr">
        <is>
          <t>Общество и политика</t>
        </is>
      </c>
      <c r="P35" t="inlineStr">
        <is>
          <t>хорошее</t>
        </is>
      </c>
      <c r="Q35" t="inlineStr">
        <is>
          <t>Своя тема: гендерное неравенство</t>
        </is>
      </c>
    </row>
    <row r="36">
      <c r="A36" t="n">
        <v>35</v>
      </c>
      <c r="B36" t="inlineStr">
        <is>
          <t>7693618807352364306</t>
        </is>
      </c>
      <c r="C36" t="inlineStr">
        <is>
          <t>TikTok</t>
        </is>
      </c>
      <c r="D36" t="inlineStr">
        <is>
          <t>https://www.tiktok.com/@calistoime/video/7693618807352364306</t>
        </is>
      </c>
      <c r="E36" t="inlineStr">
        <is>
          <t>Анастасия</t>
        </is>
      </c>
      <c r="F36" t="inlineStr">
        <is>
          <t>@calistoime</t>
        </is>
      </c>
      <c r="G36" t="inlineStr">
        <is>
          <t>Ну мне уже пофиг, я просто стараюсь говорить себе , что сделала все что смогла #физмат#балл#экзамен#контрольная#подготовка</t>
        </is>
      </c>
      <c r="I36" t="inlineStr">
        <is>
          <t>да</t>
        </is>
      </c>
      <c r="K36" t="inlineStr">
        <is>
          <t>доступна (oEmbed)</t>
        </is>
      </c>
      <c r="L36" t="inlineStr">
        <is>
          <t>нет</t>
        </is>
      </c>
      <c r="M36" t="inlineStr">
        <is>
          <t>рус</t>
        </is>
      </c>
      <c r="N36" t="inlineStr">
        <is>
          <t>да</t>
        </is>
      </c>
      <c r="O36" t="inlineStr">
        <is>
          <t>Учёба и IT</t>
        </is>
      </c>
      <c r="P36" t="inlineStr">
        <is>
          <t>только музыка</t>
        </is>
      </c>
      <c r="Q36" t="inlineStr">
        <is>
          <t>Своя тема: учеба</t>
        </is>
      </c>
    </row>
    <row r="37">
      <c r="A37" t="n">
        <v>36</v>
      </c>
      <c r="B37" t="inlineStr">
        <is>
          <t>7692747013678451975</t>
        </is>
      </c>
      <c r="C37" t="inlineStr">
        <is>
          <t>TikTok</t>
        </is>
      </c>
      <c r="D37" t="inlineStr">
        <is>
          <t>https://www.tiktok.com/@tyloou_/video/7692747013678451975</t>
        </is>
      </c>
      <c r="E37" t="inlineStr">
        <is>
          <t>Анастасия</t>
        </is>
      </c>
      <c r="F37" t="inlineStr">
        <is>
          <t>@tyloou_</t>
        </is>
      </c>
      <c r="G37" t="inlineStr">
        <is>
          <t>Съедобная стиральная капсула 🫧 Биоразлогаемый съедобный пластик: Вода 1 - 250 г Вода 2 - 50 г ( для желатина ) Желатин - 15 г Глицерин - 7 г Глюкозный сироп - 12 г Агар - 1  Каппа - 3 г 1. Замочи жела</t>
        </is>
      </c>
      <c r="I37" t="inlineStr">
        <is>
          <t>да</t>
        </is>
      </c>
      <c r="K37" t="inlineStr">
        <is>
          <t>доступна (oEmbed)</t>
        </is>
      </c>
      <c r="L37" t="inlineStr">
        <is>
          <t>да</t>
        </is>
      </c>
      <c r="M37" t="inlineStr">
        <is>
          <t>рус</t>
        </is>
      </c>
      <c r="N37" t="inlineStr">
        <is>
          <t>да</t>
        </is>
      </c>
      <c r="O37" t="inlineStr">
        <is>
          <t>Еда и рецепты</t>
        </is>
      </c>
      <c r="P37" t="inlineStr">
        <is>
          <t>хорошее</t>
        </is>
      </c>
      <c r="Q37" t="inlineStr">
        <is>
          <t>Своя тема: необычный рецепт</t>
        </is>
      </c>
    </row>
    <row r="38">
      <c r="A38" t="n">
        <v>37</v>
      </c>
      <c r="B38" t="inlineStr">
        <is>
          <t>7693209679651933448</t>
        </is>
      </c>
      <c r="C38" t="inlineStr">
        <is>
          <t>TikTok</t>
        </is>
      </c>
      <c r="D38" t="inlineStr">
        <is>
          <t>https://www.tiktok.com/@shima_shima25/video/7693209679651933448</t>
        </is>
      </c>
      <c r="E38" t="inlineStr">
        <is>
          <t>Анастасия</t>
        </is>
      </c>
      <c r="F38" t="inlineStr">
        <is>
          <t>@shima_shima25</t>
        </is>
      </c>
      <c r="G38" t="inlineStr">
        <is>
          <t>I AM JANE DOE  Джейн Доу (Jane Doe) — это стандартное английское условное обозначение для женщины, чья личность неизвестна или которая по какой-то причине хочет остаться анонимной. Вот основные случаи</t>
        </is>
      </c>
      <c r="I38" t="inlineStr">
        <is>
          <t>да</t>
        </is>
      </c>
      <c r="K38" t="inlineStr">
        <is>
          <t>доступна (oEmbed)</t>
        </is>
      </c>
      <c r="L38" t="inlineStr">
        <is>
          <t>да</t>
        </is>
      </c>
      <c r="M38" t="inlineStr">
        <is>
          <t>англ</t>
        </is>
      </c>
      <c r="N38" t="inlineStr">
        <is>
          <t>да</t>
        </is>
      </c>
      <c r="O38" t="inlineStr">
        <is>
          <t>Общество и политика</t>
        </is>
      </c>
      <c r="P38" t="inlineStr">
        <is>
          <t>хорошее</t>
        </is>
      </c>
      <c r="Q38" t="inlineStr">
        <is>
          <t>Своя тема: социальные проблемы</t>
        </is>
      </c>
    </row>
    <row r="39">
      <c r="A39" t="n">
        <v>38</v>
      </c>
      <c r="B39" t="inlineStr">
        <is>
          <t>7692821484670094644</t>
        </is>
      </c>
      <c r="C39" t="inlineStr">
        <is>
          <t>TikTok</t>
        </is>
      </c>
      <c r="D39" t="inlineStr">
        <is>
          <t>https://www.tiktok.com/@silence.moid/video/7692821484670094644</t>
        </is>
      </c>
      <c r="E39" t="inlineStr">
        <is>
          <t>Анастасия</t>
        </is>
      </c>
      <c r="F39" t="inlineStr">
        <is>
          <t>@silence.moid</t>
        </is>
      </c>
      <c r="G39" t="inlineStr">
        <is>
          <t xml:space="preserve">А ещё у меня есть недвижимость и высшее образование #высшееобразование #недвижимость #беливиксволшебныйдар </t>
        </is>
      </c>
      <c r="I39" t="inlineStr">
        <is>
          <t>да</t>
        </is>
      </c>
      <c r="K39" t="inlineStr">
        <is>
          <t>доступна (oEmbed)</t>
        </is>
      </c>
      <c r="L39" t="inlineStr">
        <is>
          <t>нет</t>
        </is>
      </c>
      <c r="M39" t="inlineStr">
        <is>
          <t>рус</t>
        </is>
      </c>
      <c r="N39" t="inlineStr">
        <is>
          <t>да</t>
        </is>
      </c>
      <c r="O39" t="inlineStr">
        <is>
          <t>Общество и политика</t>
        </is>
      </c>
      <c r="P39" t="inlineStr">
        <is>
          <t>только музыка</t>
        </is>
      </c>
      <c r="Q39" t="inlineStr">
        <is>
          <t>Своя тема: гендерное неравенство</t>
        </is>
      </c>
    </row>
    <row r="40">
      <c r="A40" t="n">
        <v>39</v>
      </c>
      <c r="B40" t="inlineStr">
        <is>
          <t>7692474654287613191</t>
        </is>
      </c>
      <c r="C40" t="inlineStr">
        <is>
          <t>TikTok</t>
        </is>
      </c>
      <c r="D40" t="inlineStr">
        <is>
          <t>https://www.tiktok.com/@jopa297478392/video/7692474654287613191</t>
        </is>
      </c>
      <c r="E40" t="inlineStr">
        <is>
          <t>Анастасия</t>
        </is>
      </c>
      <c r="F40" t="inlineStr">
        <is>
          <t>@jopa297478392</t>
        </is>
      </c>
      <c r="G40" t="inlineStr">
        <is>
          <t>как бы звучала макулатура, если бы была хорошей группой #макулатура #публикавыбираетсама #эхопрокуренныхподъездов #эпп</t>
        </is>
      </c>
      <c r="I40" t="inlineStr">
        <is>
          <t>да</t>
        </is>
      </c>
      <c r="K40" t="inlineStr">
        <is>
          <t>доступна (oEmbed)</t>
        </is>
      </c>
      <c r="L40" t="inlineStr">
        <is>
          <t>нет</t>
        </is>
      </c>
      <c r="M40" t="inlineStr">
        <is>
          <t>рус</t>
        </is>
      </c>
      <c r="N40" t="inlineStr">
        <is>
          <t>да</t>
        </is>
      </c>
      <c r="O40" t="inlineStr">
        <is>
          <t>Музыка и танцы</t>
        </is>
      </c>
      <c r="P40" t="inlineStr">
        <is>
          <t>только музыка</t>
        </is>
      </c>
      <c r="Q40" t="inlineStr">
        <is>
          <t>Своя тема: музыка; чел сам поет</t>
        </is>
      </c>
    </row>
    <row r="41">
      <c r="A41" t="n">
        <v>40</v>
      </c>
      <c r="B41" t="inlineStr">
        <is>
          <t>7693066488541924640</t>
        </is>
      </c>
      <c r="C41" t="inlineStr">
        <is>
          <t>TikTok</t>
        </is>
      </c>
      <c r="D41" t="inlineStr">
        <is>
          <t>https://www.tiktok.com/@elinprofilm/video/7693066488541924640</t>
        </is>
      </c>
      <c r="E41" t="inlineStr">
        <is>
          <t>Анастасия</t>
        </is>
      </c>
      <c r="F41" t="inlineStr">
        <is>
          <t>@elinprofilm</t>
        </is>
      </c>
      <c r="G41" t="inlineStr">
        <is>
          <t xml:space="preserve">9 октября выйдет жуткий хоррор от создателей «Обсессия»🍿 как вам сюжет? #обсессия #другаямама #триллер #хоррор #чтопосмотреть </t>
        </is>
      </c>
      <c r="I41" t="inlineStr">
        <is>
          <t>да</t>
        </is>
      </c>
      <c r="K41" t="inlineStr">
        <is>
          <t>доступна (oEmbed)</t>
        </is>
      </c>
      <c r="L41" t="inlineStr">
        <is>
          <t>да</t>
        </is>
      </c>
      <c r="M41" t="inlineStr">
        <is>
          <t>рус</t>
        </is>
      </c>
      <c r="N41" t="inlineStr">
        <is>
          <t>да</t>
        </is>
      </c>
      <c r="O41" t="inlineStr">
        <is>
          <t>Кино и сериалы</t>
        </is>
      </c>
      <c r="P41" t="inlineStr">
        <is>
          <t>хорошее</t>
        </is>
      </c>
      <c r="Q41" t="inlineStr">
        <is>
          <t>Своя тема: фильмы</t>
        </is>
      </c>
    </row>
    <row r="42">
      <c r="A42" t="n">
        <v>41</v>
      </c>
      <c r="B42" t="inlineStr">
        <is>
          <t>7693175100778007826</t>
        </is>
      </c>
      <c r="C42" t="inlineStr">
        <is>
          <t>TikTok</t>
        </is>
      </c>
      <c r="D42" t="inlineStr">
        <is>
          <t>https://www.tiktok.com/@kischuk_trainer/video/7693175100778007826</t>
        </is>
      </c>
      <c r="E42" t="inlineStr">
        <is>
          <t>Анастасия</t>
        </is>
      </c>
      <c r="F42" t="inlineStr">
        <is>
          <t>@kischuk_trainer</t>
        </is>
      </c>
      <c r="G42" t="inlineStr">
        <is>
          <t>Не забудь сохранить мою тренировку и попробовать ее🫶🏼Запись ко мне на тренировки/ведение—Директ🫶🏼</t>
        </is>
      </c>
      <c r="I42" t="inlineStr">
        <is>
          <t>да</t>
        </is>
      </c>
      <c r="K42" t="inlineStr">
        <is>
          <t>доступна (oEmbed)</t>
        </is>
      </c>
      <c r="L42" t="inlineStr">
        <is>
          <t>нет</t>
        </is>
      </c>
      <c r="M42" t="inlineStr">
        <is>
          <t>рус</t>
        </is>
      </c>
      <c r="N42" t="inlineStr">
        <is>
          <t>да</t>
        </is>
      </c>
      <c r="O42" t="inlineStr">
        <is>
          <t>Спорт и здоровье</t>
        </is>
      </c>
      <c r="P42" t="inlineStr">
        <is>
          <t>только музыка</t>
        </is>
      </c>
      <c r="Q42" t="inlineStr">
        <is>
          <t>Своя тема: спортзал</t>
        </is>
      </c>
    </row>
    <row r="43">
      <c r="A43" t="n">
        <v>42</v>
      </c>
      <c r="B43" t="inlineStr">
        <is>
          <t>7692745520191687943</t>
        </is>
      </c>
      <c r="C43" t="inlineStr">
        <is>
          <t>TikTok</t>
        </is>
      </c>
      <c r="D43" t="inlineStr">
        <is>
          <t>https://www.tiktok.com/@ksirkii/video/7692745520191687943</t>
        </is>
      </c>
      <c r="E43" t="inlineStr">
        <is>
          <t>Анастасия</t>
        </is>
      </c>
      <c r="F43" t="inlineStr">
        <is>
          <t>@ksirkii</t>
        </is>
      </c>
      <c r="G43" t="inlineStr">
        <is>
          <t xml:space="preserve">любимая пара в интернете❤️❤️❤️ #стафанов #штефанов #александрштефанов #стасайкакпросто  #триметранадуровнемнеба #fyp </t>
        </is>
      </c>
      <c r="I43" t="inlineStr">
        <is>
          <t>да</t>
        </is>
      </c>
      <c r="K43" t="inlineStr">
        <is>
          <t>доступна (oEmbed)</t>
        </is>
      </c>
      <c r="L43" t="inlineStr">
        <is>
          <t>нет</t>
        </is>
      </c>
      <c r="M43" t="inlineStr">
        <is>
          <t>нет речи</t>
        </is>
      </c>
      <c r="N43" t="inlineStr">
        <is>
          <t>нет</t>
        </is>
      </c>
      <c r="O43" t="inlineStr">
        <is>
          <t>Юмор и мемы</t>
        </is>
      </c>
      <c r="P43" t="inlineStr">
        <is>
          <t>только музыка</t>
        </is>
      </c>
      <c r="Q43" t="inlineStr">
        <is>
          <t>Своя тема: юмор/политика</t>
        </is>
      </c>
    </row>
    <row r="44">
      <c r="A44" t="n">
        <v>43</v>
      </c>
      <c r="B44" t="inlineStr">
        <is>
          <t>7692833246891101448</t>
        </is>
      </c>
      <c r="C44" t="inlineStr">
        <is>
          <t>TikTok</t>
        </is>
      </c>
      <c r="D44" t="inlineStr">
        <is>
          <t>https://www.tiktok.com/@bishhhhk/video/7692833246891101448</t>
        </is>
      </c>
      <c r="E44" t="inlineStr">
        <is>
          <t>Анастасия</t>
        </is>
      </c>
      <c r="F44" t="inlineStr">
        <is>
          <t>@bishhhhk</t>
        </is>
      </c>
      <c r="G44" t="inlineStr">
        <is>
          <t>Митинги снова появляются в политическом постранстве. Сегодня разбираюсь в новом симтоме дисфункциональности управления.  #россия #митинг #протесты #выборы</t>
        </is>
      </c>
      <c r="I44" t="inlineStr">
        <is>
          <t>да</t>
        </is>
      </c>
      <c r="K44" t="inlineStr">
        <is>
          <t>доступна (oEmbed)</t>
        </is>
      </c>
      <c r="L44" t="inlineStr">
        <is>
          <t>да</t>
        </is>
      </c>
      <c r="M44" t="inlineStr">
        <is>
          <t>рус</t>
        </is>
      </c>
      <c r="N44" t="inlineStr">
        <is>
          <t>да</t>
        </is>
      </c>
      <c r="O44" t="inlineStr">
        <is>
          <t>Общество и политика</t>
        </is>
      </c>
      <c r="P44" t="inlineStr">
        <is>
          <t>хорошее</t>
        </is>
      </c>
      <c r="Q44" t="inlineStr">
        <is>
          <t>Своя тема: политика</t>
        </is>
      </c>
    </row>
    <row r="45">
      <c r="A45" t="n">
        <v>44</v>
      </c>
      <c r="B45" t="inlineStr">
        <is>
          <t>7691810599256263956</t>
        </is>
      </c>
      <c r="C45" t="inlineStr">
        <is>
          <t>TikTok</t>
        </is>
      </c>
      <c r="D45" t="inlineStr">
        <is>
          <t>https://www.tiktok.com/@love.tasty.food/video/7691810599256263956</t>
        </is>
      </c>
      <c r="E45" t="inlineStr">
        <is>
          <t>Анастасия</t>
        </is>
      </c>
      <c r="F45" t="inlineStr">
        <is>
          <t>@love.tasty.food</t>
        </is>
      </c>
      <c r="G45" t="inlineStr">
        <is>
          <t>Пока кто-то жалуется на работу, я жалуюсь на её отсутствие 😭 И хочу поскорее найти свою команду!  #it #фронтендразработчик #поискработы #вакансии #вакансииit</t>
        </is>
      </c>
      <c r="I45" t="inlineStr">
        <is>
          <t>да</t>
        </is>
      </c>
      <c r="K45" t="inlineStr">
        <is>
          <t>доступна (oEmbed)</t>
        </is>
      </c>
      <c r="L45" t="inlineStr">
        <is>
          <t>да</t>
        </is>
      </c>
      <c r="M45" t="inlineStr">
        <is>
          <t>рус</t>
        </is>
      </c>
      <c r="N45" t="inlineStr">
        <is>
          <t>да</t>
        </is>
      </c>
      <c r="O45" t="inlineStr">
        <is>
          <t>Общество и политика</t>
        </is>
      </c>
      <c r="P45" t="inlineStr">
        <is>
          <t>хорошее</t>
        </is>
      </c>
      <c r="Q45" t="inlineStr">
        <is>
          <t>Своя тема: кризис на рынке труда</t>
        </is>
      </c>
    </row>
    <row r="46">
      <c r="A46" t="n">
        <v>45</v>
      </c>
      <c r="B46" t="inlineStr">
        <is>
          <t>7691325446121753876</t>
        </is>
      </c>
      <c r="C46" t="inlineStr">
        <is>
          <t>TikTok</t>
        </is>
      </c>
      <c r="D46" t="inlineStr">
        <is>
          <t>https://www.tiktok.com/@logvinarkad_/video/7691325446121753876</t>
        </is>
      </c>
      <c r="E46" t="inlineStr">
        <is>
          <t>Анастасия</t>
        </is>
      </c>
      <c r="F46" t="inlineStr">
        <is>
          <t>@logvinarkad_</t>
        </is>
      </c>
      <c r="G46" t="inlineStr">
        <is>
          <t xml:space="preserve">«УЛИЦА ГОВОРИТ», а ты что скажешь?  Видео создано при поддержки @Криптоплатформа Dzengi  #аркадьлогвин #улицаговорит #тренд #интервью #отношения </t>
        </is>
      </c>
      <c r="I46" t="inlineStr">
        <is>
          <t>да</t>
        </is>
      </c>
      <c r="K46" t="inlineStr">
        <is>
          <t>доступна (oEmbed)</t>
        </is>
      </c>
      <c r="L46" t="inlineStr">
        <is>
          <t>да</t>
        </is>
      </c>
      <c r="M46" t="inlineStr">
        <is>
          <t>рус</t>
        </is>
      </c>
      <c r="N46" t="inlineStr">
        <is>
          <t>да</t>
        </is>
      </c>
      <c r="O46" t="inlineStr">
        <is>
          <t>Другое</t>
        </is>
      </c>
      <c r="P46" t="inlineStr">
        <is>
          <t>хорошее</t>
        </is>
      </c>
      <c r="Q46" t="inlineStr">
        <is>
          <t>Своя тема: девушка на улице рисует/интервью</t>
        </is>
      </c>
    </row>
    <row r="47">
      <c r="A47" t="n">
        <v>46</v>
      </c>
      <c r="B47" t="inlineStr">
        <is>
          <t>7691628151364996372</t>
        </is>
      </c>
      <c r="C47" t="inlineStr">
        <is>
          <t>TikTok</t>
        </is>
      </c>
      <c r="D47" t="inlineStr">
        <is>
          <t>https://www.tiktok.com/@fedor.mencha/video/7691628151364996372</t>
        </is>
      </c>
      <c r="E47" t="inlineStr">
        <is>
          <t>Анастасия</t>
        </is>
      </c>
      <c r="F47" t="inlineStr">
        <is>
          <t>@fedor.mencha</t>
        </is>
      </c>
      <c r="G47" t="inlineStr">
        <is>
          <t xml:space="preserve">Записаться на онлайн ведение можно по ссылке в моём профиле, либо через личные сообщения🔝✅ #похудение #тренировка #фитнес #здоровье #спорт </t>
        </is>
      </c>
      <c r="I47" t="inlineStr">
        <is>
          <t>да</t>
        </is>
      </c>
      <c r="K47" t="inlineStr">
        <is>
          <t>доступна (oEmbed)</t>
        </is>
      </c>
      <c r="L47" t="inlineStr">
        <is>
          <t>да</t>
        </is>
      </c>
      <c r="M47" t="inlineStr">
        <is>
          <t>рус</t>
        </is>
      </c>
      <c r="N47" t="inlineStr">
        <is>
          <t>да</t>
        </is>
      </c>
      <c r="O47" t="inlineStr">
        <is>
          <t>Спорт и здоровье</t>
        </is>
      </c>
      <c r="P47" t="inlineStr">
        <is>
          <t>хорошее</t>
        </is>
      </c>
      <c r="Q47" t="inlineStr">
        <is>
          <t>Своя тема: спортзал</t>
        </is>
      </c>
    </row>
    <row r="48">
      <c r="A48" t="n">
        <v>47</v>
      </c>
      <c r="B48" t="inlineStr">
        <is>
          <t>7691682582693514504</t>
        </is>
      </c>
      <c r="C48" t="inlineStr">
        <is>
          <t>TikTok</t>
        </is>
      </c>
      <c r="D48" t="inlineStr">
        <is>
          <t>https://www.tiktok.com/@electrojoint/video/7691682582693514504</t>
        </is>
      </c>
      <c r="E48" t="inlineStr">
        <is>
          <t>Анастасия</t>
        </is>
      </c>
      <c r="F48" t="inlineStr">
        <is>
          <t>@electrojoint</t>
        </is>
      </c>
      <c r="G48" t="inlineStr">
        <is>
          <t>помогите зафорсить трек! вся инфа о нем в тгк: elctrojoint #recommendations #рекомендации #врекомендации #глобальныерекомендации #fyp</t>
        </is>
      </c>
      <c r="I48" t="inlineStr">
        <is>
          <t>да</t>
        </is>
      </c>
      <c r="K48" t="inlineStr">
        <is>
          <t>доступна (oEmbed)</t>
        </is>
      </c>
      <c r="L48" t="inlineStr">
        <is>
          <t>нет</t>
        </is>
      </c>
      <c r="M48" t="inlineStr">
        <is>
          <t>англ</t>
        </is>
      </c>
      <c r="N48" t="inlineStr">
        <is>
          <t>да</t>
        </is>
      </c>
      <c r="O48" t="inlineStr">
        <is>
          <t>Музыка и танцы</t>
        </is>
      </c>
      <c r="P48" t="inlineStr">
        <is>
          <t>только музыка</t>
        </is>
      </c>
      <c r="Q48" t="inlineStr">
        <is>
          <t>Своя тема: музыка</t>
        </is>
      </c>
    </row>
    <row r="49">
      <c r="A49" t="n">
        <v>48</v>
      </c>
      <c r="B49" t="inlineStr">
        <is>
          <t>7691034568341687584</t>
        </is>
      </c>
      <c r="C49" t="inlineStr">
        <is>
          <t>TikTok</t>
        </is>
      </c>
      <c r="D49" t="inlineStr">
        <is>
          <t>https://www.tiktok.com/@mother.yukionna/video/7691034568341687584</t>
        </is>
      </c>
      <c r="E49" t="inlineStr">
        <is>
          <t>Анастасия</t>
        </is>
      </c>
      <c r="F49" t="inlineStr">
        <is>
          <t>@mother.yukionna</t>
        </is>
      </c>
      <c r="G49" t="inlineStr">
        <is>
          <t xml:space="preserve">Женщин ждет прекрасный мир, а моидов контроль и подчинение🤩#матриархат #радфем #радикальныйфеминизм #женщины #щп </t>
        </is>
      </c>
      <c r="I49" t="inlineStr">
        <is>
          <t>да</t>
        </is>
      </c>
      <c r="K49" t="inlineStr">
        <is>
          <t>доступна (oEmbed)</t>
        </is>
      </c>
      <c r="L49" t="inlineStr">
        <is>
          <t>нет</t>
        </is>
      </c>
      <c r="M49" t="inlineStr">
        <is>
          <t>рус</t>
        </is>
      </c>
      <c r="N49" t="inlineStr">
        <is>
          <t>да</t>
        </is>
      </c>
      <c r="O49" t="inlineStr">
        <is>
          <t>Общество и политика</t>
        </is>
      </c>
      <c r="P49" t="inlineStr">
        <is>
          <t>только музыка</t>
        </is>
      </c>
      <c r="Q49" t="inlineStr">
        <is>
          <t>Своя тема: гендерное неравенство</t>
        </is>
      </c>
    </row>
    <row r="50">
      <c r="A50" t="n">
        <v>49</v>
      </c>
      <c r="B50" t="inlineStr">
        <is>
          <t>7690493287655869717</t>
        </is>
      </c>
      <c r="C50" t="inlineStr">
        <is>
          <t>TikTok</t>
        </is>
      </c>
      <c r="D50" t="inlineStr">
        <is>
          <t>https://www.tiktok.com/@myr_16/video/7690493287655869717</t>
        </is>
      </c>
      <c r="E50" t="inlineStr">
        <is>
          <t>Анастасия</t>
        </is>
      </c>
      <c r="F50" t="inlineStr">
        <is>
          <t>@myr_16</t>
        </is>
      </c>
      <c r="G50" t="inlineStr">
        <is>
          <t>Хорошо, что мне 44. Уже не нужно никому ничего доказывать. Только себе — что могу ещё больше. 💪🔥#казахстан🇰🇿 #экибастуз #фитнес #любисебя #мотивация Только себе — что могу ещё больше. 💪🔥</t>
        </is>
      </c>
      <c r="I50" t="inlineStr">
        <is>
          <t>да</t>
        </is>
      </c>
      <c r="K50" t="inlineStr">
        <is>
          <t>доступна (oEmbed)</t>
        </is>
      </c>
      <c r="L50" t="inlineStr">
        <is>
          <t>нет</t>
        </is>
      </c>
      <c r="M50" t="inlineStr">
        <is>
          <t>рус</t>
        </is>
      </c>
      <c r="N50" t="inlineStr">
        <is>
          <t>да</t>
        </is>
      </c>
      <c r="O50" t="inlineStr">
        <is>
          <t>Спорт и здоровье</t>
        </is>
      </c>
      <c r="P50" t="inlineStr">
        <is>
          <t>только музыка</t>
        </is>
      </c>
      <c r="Q50" t="inlineStr">
        <is>
          <t>Своя тема: спортзал; есть речь но она в звуке из тт, сам автор ничего не говорит</t>
        </is>
      </c>
    </row>
    <row r="51">
      <c r="A51" t="n">
        <v>50</v>
      </c>
      <c r="B51" t="inlineStr">
        <is>
          <t>7691036014235618612</t>
        </is>
      </c>
      <c r="C51" t="inlineStr">
        <is>
          <t>TikTok</t>
        </is>
      </c>
      <c r="D51" t="inlineStr">
        <is>
          <t>https://www.tiktok.com/@fedor.mencha/video/7691036014235618612</t>
        </is>
      </c>
      <c r="E51" t="inlineStr">
        <is>
          <t>Анастасия</t>
        </is>
      </c>
      <c r="F51" t="inlineStr">
        <is>
          <t>@fedor.mencha</t>
        </is>
      </c>
      <c r="G51" t="inlineStr">
        <is>
          <t xml:space="preserve">Записаться на онлайн ведение можно по ссылке в моём профиле, либо через личные сообщения🔝✅ #похудение #фитнес #тренировка #зож #спорт </t>
        </is>
      </c>
      <c r="I51" t="inlineStr">
        <is>
          <t>да</t>
        </is>
      </c>
      <c r="K51" t="inlineStr">
        <is>
          <t>доступна (oEmbed)</t>
        </is>
      </c>
      <c r="L51" t="inlineStr">
        <is>
          <t>да</t>
        </is>
      </c>
      <c r="M51" t="inlineStr">
        <is>
          <t>рус</t>
        </is>
      </c>
      <c r="N51" t="inlineStr">
        <is>
          <t>да</t>
        </is>
      </c>
      <c r="O51" t="inlineStr">
        <is>
          <t>Спорт и здоровье</t>
        </is>
      </c>
      <c r="P51" t="inlineStr">
        <is>
          <t>хорошее</t>
        </is>
      </c>
      <c r="Q51" t="inlineStr">
        <is>
          <t>Своя тема: спортзал</t>
        </is>
      </c>
    </row>
    <row r="52">
      <c r="A52" t="n">
        <v>51</v>
      </c>
      <c r="B52" t="inlineStr">
        <is>
          <t>7688352064287739156</t>
        </is>
      </c>
      <c r="C52" t="inlineStr">
        <is>
          <t>TikTok</t>
        </is>
      </c>
      <c r="D52" t="inlineStr">
        <is>
          <t>https://www.tiktok.com/@boss_neuro/video/7688352064287739156</t>
        </is>
      </c>
      <c r="E52" t="inlineStr">
        <is>
          <t>Анастасия</t>
        </is>
      </c>
      <c r="F52" t="inlineStr">
        <is>
          <t>@boss_neuro</t>
        </is>
      </c>
      <c r="G52" t="inlineStr">
        <is>
          <t>Мать была уверена, что её секрет никто никогда не узнает. Но один школьный тест поставил под сомнение всё. Теперь отец собирается докопаться до правды — и она понимает, что времени почти не осталось.</t>
        </is>
      </c>
      <c r="I52" t="inlineStr">
        <is>
          <t>да</t>
        </is>
      </c>
      <c r="K52" t="inlineStr">
        <is>
          <t>доступна (oEmbed)</t>
        </is>
      </c>
      <c r="L52" t="inlineStr">
        <is>
          <t>да</t>
        </is>
      </c>
      <c r="M52" t="inlineStr">
        <is>
          <t>рус</t>
        </is>
      </c>
      <c r="N52" t="inlineStr">
        <is>
          <t>да</t>
        </is>
      </c>
      <c r="O52" t="inlineStr">
        <is>
          <t>Кино и сериалы</t>
        </is>
      </c>
      <c r="P52" t="inlineStr">
        <is>
          <t>хорошее</t>
        </is>
      </c>
      <c r="Q52" t="inlineStr">
        <is>
          <t>Своя тема: ии сериал</t>
        </is>
      </c>
    </row>
    <row r="53">
      <c r="A53" t="n">
        <v>52</v>
      </c>
      <c r="B53" t="inlineStr">
        <is>
          <t>7691286520149445906</t>
        </is>
      </c>
      <c r="C53" t="inlineStr">
        <is>
          <t>TikTok</t>
        </is>
      </c>
      <c r="D53" t="inlineStr">
        <is>
          <t>https://www.tiktok.com/@vilokaa/video/7691286520149445906</t>
        </is>
      </c>
      <c r="E53" t="inlineStr">
        <is>
          <t>Анастасия</t>
        </is>
      </c>
      <c r="F53" t="inlineStr">
        <is>
          <t>@vilokaa</t>
        </is>
      </c>
      <c r="G53" t="inlineStr">
        <is>
          <t>Сейчас мой отец - прекрасный и хороший человек. Я давно простила его за моё детство. Он не пьёт, ведёт здоровый образ жизни, часто звонит и заботится обо мне. Я благодарна ему за это.</t>
        </is>
      </c>
      <c r="I53" t="inlineStr">
        <is>
          <t>да</t>
        </is>
      </c>
      <c r="K53" t="inlineStr">
        <is>
          <t>доступна (oEmbed)</t>
        </is>
      </c>
      <c r="L53" t="inlineStr">
        <is>
          <t>нет</t>
        </is>
      </c>
      <c r="M53" t="inlineStr">
        <is>
          <t>рус</t>
        </is>
      </c>
      <c r="N53" t="inlineStr">
        <is>
          <t>да</t>
        </is>
      </c>
      <c r="O53" t="inlineStr">
        <is>
          <t>Общество и политика</t>
        </is>
      </c>
      <c r="P53" t="inlineStr">
        <is>
          <t>хорошее</t>
        </is>
      </c>
      <c r="Q53" t="inlineStr">
        <is>
          <t>Своя тема: гендерное неравенство</t>
        </is>
      </c>
    </row>
    <row r="54">
      <c r="A54" t="n">
        <v>53</v>
      </c>
      <c r="B54" t="inlineStr">
        <is>
          <t>7689452343452110101</t>
        </is>
      </c>
      <c r="C54" t="inlineStr">
        <is>
          <t>TikTok</t>
        </is>
      </c>
      <c r="D54" t="inlineStr">
        <is>
          <t>https://www.tiktok.com/@neurozeh.ru/video/7689452343452110101</t>
        </is>
      </c>
      <c r="E54" t="inlineStr">
        <is>
          <t>Анастасия</t>
        </is>
      </c>
      <c r="F54" t="inlineStr">
        <is>
          <t>@neurozeh.ru</t>
        </is>
      </c>
      <c r="G54" t="inlineStr">
        <is>
          <t>ИИ может написать грамотно, логично и по всем правилам, но именно эта правильность иногда делает текст безжизненным. Проблема не в том, чтобы заставить нейросеть писать «как человек», а в том, чтобы н</t>
        </is>
      </c>
      <c r="I54" t="inlineStr">
        <is>
          <t>да</t>
        </is>
      </c>
      <c r="K54" t="inlineStr">
        <is>
          <t>доступна (oEmbed)</t>
        </is>
      </c>
      <c r="L54" t="inlineStr">
        <is>
          <t>да</t>
        </is>
      </c>
      <c r="M54" t="inlineStr">
        <is>
          <t>рус</t>
        </is>
      </c>
      <c r="N54" t="inlineStr">
        <is>
          <t>да</t>
        </is>
      </c>
      <c r="O54" t="inlineStr">
        <is>
          <t>Учёба и IT</t>
        </is>
      </c>
      <c r="P54" t="inlineStr">
        <is>
          <t>хорошее</t>
        </is>
      </c>
      <c r="Q54" t="inlineStr">
        <is>
          <t>Своя тема: ии</t>
        </is>
      </c>
    </row>
    <row r="55">
      <c r="A55" t="n">
        <v>54</v>
      </c>
      <c r="B55" t="inlineStr">
        <is>
          <t>7689091198753033494</t>
        </is>
      </c>
      <c r="C55" t="inlineStr">
        <is>
          <t>TikTok</t>
        </is>
      </c>
      <c r="D55" t="inlineStr">
        <is>
          <t>https://www.tiktok.com/@standuplokal/video/7689091198753033494</t>
        </is>
      </c>
      <c r="E55" t="inlineStr">
        <is>
          <t>Анастасия</t>
        </is>
      </c>
      <c r="F55" t="inlineStr">
        <is>
          <t>@standuplokal</t>
        </is>
      </c>
      <c r="G55" t="inlineStr">
        <is>
          <t>Вышел Пораразби из Варшавы! Смотрите выпуск целиком на нашемканале lokal #стендапкомики #стендапшоу #стендап #подкаст</t>
        </is>
      </c>
      <c r="I55" t="inlineStr">
        <is>
          <t>да</t>
        </is>
      </c>
      <c r="K55" t="inlineStr">
        <is>
          <t>доступна (oEmbed)</t>
        </is>
      </c>
      <c r="L55" t="inlineStr">
        <is>
          <t>да</t>
        </is>
      </c>
      <c r="M55" t="inlineStr">
        <is>
          <t>рус</t>
        </is>
      </c>
      <c r="N55" t="inlineStr">
        <is>
          <t>да</t>
        </is>
      </c>
      <c r="O55" t="inlineStr">
        <is>
          <t>Юмор и мемы</t>
        </is>
      </c>
      <c r="P55" t="inlineStr">
        <is>
          <t>хорошее</t>
        </is>
      </c>
      <c r="Q55" t="inlineStr">
        <is>
          <t>Своя тема: стендап</t>
        </is>
      </c>
    </row>
    <row r="56">
      <c r="A56" t="n">
        <v>55</v>
      </c>
      <c r="B56" t="inlineStr">
        <is>
          <t>7690997366161427732</t>
        </is>
      </c>
      <c r="C56" t="inlineStr">
        <is>
          <t>TikTok</t>
        </is>
      </c>
      <c r="D56" t="inlineStr">
        <is>
          <t>https://www.tiktok.com/@her_idea_369/video/7690997366161427732</t>
        </is>
      </c>
      <c r="E56" t="inlineStr">
        <is>
          <t>Анастасия</t>
        </is>
      </c>
      <c r="F56" t="inlineStr">
        <is>
          <t>@her_idea_369</t>
        </is>
      </c>
      <c r="G56" t="inlineStr">
        <is>
          <t>Вам не нужно разделять мою позицию, можете думать как угодно, но приходить ко мне ныть, что я должна изменить свою позицию, пускать сопли и требовать от меня выйти с вами на дискуссию НЕТ. Я давно при</t>
        </is>
      </c>
      <c r="I56" t="inlineStr">
        <is>
          <t>да</t>
        </is>
      </c>
      <c r="K56" t="inlineStr">
        <is>
          <t>доступна (oEmbed)</t>
        </is>
      </c>
      <c r="L56" t="inlineStr">
        <is>
          <t>нет</t>
        </is>
      </c>
      <c r="M56" t="inlineStr">
        <is>
          <t>рус</t>
        </is>
      </c>
      <c r="N56" t="inlineStr">
        <is>
          <t>да</t>
        </is>
      </c>
      <c r="O56" t="inlineStr">
        <is>
          <t>Общество и политика</t>
        </is>
      </c>
      <c r="P56" t="inlineStr">
        <is>
          <t>только музыка</t>
        </is>
      </c>
      <c r="Q56" t="inlineStr">
        <is>
          <t>Своя тема: гендерное неравенство</t>
        </is>
      </c>
    </row>
    <row r="57">
      <c r="A57" t="n">
        <v>56</v>
      </c>
      <c r="B57" t="inlineStr">
        <is>
          <t>7690642149519396116</t>
        </is>
      </c>
      <c r="C57" t="inlineStr">
        <is>
          <t>TikTok</t>
        </is>
      </c>
      <c r="D57" t="inlineStr">
        <is>
          <t>https://www.tiktok.com/@faviee31/video/7690642149519396116</t>
        </is>
      </c>
      <c r="E57" t="inlineStr">
        <is>
          <t>Анастасия</t>
        </is>
      </c>
      <c r="F57" t="inlineStr">
        <is>
          <t>@faviee31</t>
        </is>
      </c>
      <c r="G57" t="inlineStr">
        <is>
          <t>ладно, вы классные. +ЛЕЕ И РЕЗИНОВЫЙ, успокойтесь  #творожныйбизнес #руреп #рек #recommendations #on @тг: творожный бизнес творожный бизнес — это не про молочное производство, а музыкальный проект. За</t>
        </is>
      </c>
      <c r="I57" t="inlineStr">
        <is>
          <t>да</t>
        </is>
      </c>
      <c r="K57" t="inlineStr">
        <is>
          <t>доступна (oEmbed)</t>
        </is>
      </c>
      <c r="L57" t="inlineStr">
        <is>
          <t>нет</t>
        </is>
      </c>
      <c r="M57" t="inlineStr">
        <is>
          <t>рус</t>
        </is>
      </c>
      <c r="N57" t="inlineStr">
        <is>
          <t>да</t>
        </is>
      </c>
      <c r="O57" t="inlineStr">
        <is>
          <t>Музыка и танцы</t>
        </is>
      </c>
      <c r="P57" t="inlineStr">
        <is>
          <t>только музыка</t>
        </is>
      </c>
      <c r="Q57" t="inlineStr">
        <is>
          <t>Своя тема: музыка</t>
        </is>
      </c>
    </row>
    <row r="58">
      <c r="A58" t="n">
        <v>57</v>
      </c>
      <c r="B58" t="inlineStr">
        <is>
          <t>7072020781319851265</t>
        </is>
      </c>
      <c r="C58" t="inlineStr">
        <is>
          <t>TikTok</t>
        </is>
      </c>
      <c r="D58" t="inlineStr">
        <is>
          <t>https://www.tiktok.com/@pink__angel_gotovit/video/7072020781319851265</t>
        </is>
      </c>
      <c r="E58" t="inlineStr">
        <is>
          <t>Анастасия</t>
        </is>
      </c>
      <c r="F58" t="inlineStr">
        <is>
          <t>@pink__angel_gotovit</t>
        </is>
      </c>
      <c r="G58" t="inlineStr">
        <is>
          <t>Подробный рецепт в inst: pink__angel_        #сырники #сырникибезсахара #сырникибезяиц #сырникиза5минут #сырникирецепт #сырникиназавтрак #сырнички #сырникибезмуки</t>
        </is>
      </c>
      <c r="I58" t="inlineStr">
        <is>
          <t>да</t>
        </is>
      </c>
      <c r="K58" t="inlineStr">
        <is>
          <t>доступна (oEmbed)</t>
        </is>
      </c>
      <c r="L58" t="inlineStr">
        <is>
          <t>да</t>
        </is>
      </c>
      <c r="M58" t="inlineStr">
        <is>
          <t>рус</t>
        </is>
      </c>
      <c r="N58" t="inlineStr">
        <is>
          <t>нет</t>
        </is>
      </c>
      <c r="O58" t="inlineStr">
        <is>
          <t>Еда и рецепты</t>
        </is>
      </c>
      <c r="P58" t="inlineStr">
        <is>
          <t>хорошее</t>
        </is>
      </c>
      <c r="Q58" t="inlineStr">
        <is>
          <t>Своя тема: рецепты</t>
        </is>
      </c>
    </row>
    <row r="59">
      <c r="A59" t="n">
        <v>58</v>
      </c>
      <c r="B59" t="inlineStr">
        <is>
          <t>7690837170378018080</t>
        </is>
      </c>
      <c r="C59" t="inlineStr">
        <is>
          <t>TikTok</t>
        </is>
      </c>
      <c r="D59" t="inlineStr">
        <is>
          <t>https://www.tiktok.com/@liza_belis/video/7690837170378018080</t>
        </is>
      </c>
      <c r="E59" t="inlineStr">
        <is>
          <t>Анастасия</t>
        </is>
      </c>
      <c r="F59" t="inlineStr">
        <is>
          <t>@liza_belis</t>
        </is>
      </c>
      <c r="G59" t="inlineStr">
        <is>
          <t xml:space="preserve">не смешно, нелепо, глупо, вторично, безосновательно, неразумно, бессмысленно, непонятно, отнюдь не остроумно ##лиза_белис #рофл #постирония #щп #67 </t>
        </is>
      </c>
      <c r="I59" t="inlineStr">
        <is>
          <t>да</t>
        </is>
      </c>
      <c r="K59" t="inlineStr">
        <is>
          <t>доступна (oEmbed)</t>
        </is>
      </c>
      <c r="L59" t="inlineStr">
        <is>
          <t>да</t>
        </is>
      </c>
      <c r="M59" t="inlineStr">
        <is>
          <t>рус</t>
        </is>
      </c>
      <c r="N59" t="inlineStr">
        <is>
          <t>да</t>
        </is>
      </c>
      <c r="O59" t="inlineStr">
        <is>
          <t>Юмор и мемы</t>
        </is>
      </c>
      <c r="P59" t="inlineStr">
        <is>
          <t>среднее</t>
        </is>
      </c>
      <c r="Q59" t="inlineStr">
        <is>
          <t>Своя тема: юмор политика</t>
        </is>
      </c>
    </row>
    <row r="60">
      <c r="A60" t="n">
        <v>59</v>
      </c>
      <c r="B60" t="inlineStr">
        <is>
          <t>7690879905155927310</t>
        </is>
      </c>
      <c r="C60" t="inlineStr">
        <is>
          <t>TikTok</t>
        </is>
      </c>
      <c r="D60" t="inlineStr">
        <is>
          <t>https://www.tiktok.com/@ssilensio_blog/video/7690879905155927310</t>
        </is>
      </c>
      <c r="E60" t="inlineStr">
        <is>
          <t>Анастасия</t>
        </is>
      </c>
      <c r="F60" t="inlineStr">
        <is>
          <t>@ssilensio_blog</t>
        </is>
      </c>
      <c r="G60" t="inlineStr">
        <is>
          <t xml:space="preserve">Скрещиваю картошку и роллы, чтобы подтвердить, что любое блюдо может быть сделано из картошки! Так что эти роллы на 90% состоят из картошки  #ssilensio #еда #рецепт #роллы #картошка </t>
        </is>
      </c>
      <c r="I60" t="inlineStr">
        <is>
          <t>да</t>
        </is>
      </c>
      <c r="K60" t="inlineStr">
        <is>
          <t>доступна (oEmbed)</t>
        </is>
      </c>
      <c r="L60" t="inlineStr">
        <is>
          <t>да</t>
        </is>
      </c>
      <c r="M60" t="inlineStr">
        <is>
          <t>рус</t>
        </is>
      </c>
      <c r="N60" t="inlineStr">
        <is>
          <t>да</t>
        </is>
      </c>
      <c r="O60" t="inlineStr">
        <is>
          <t>Еда и рецепты</t>
        </is>
      </c>
      <c r="P60" t="inlineStr">
        <is>
          <t>хорошее</t>
        </is>
      </c>
      <c r="Q60" t="inlineStr">
        <is>
          <t>Своя тема: рецепты</t>
        </is>
      </c>
    </row>
    <row r="61">
      <c r="A61" t="n">
        <v>60</v>
      </c>
      <c r="B61" t="inlineStr">
        <is>
          <t>7669759178264612116</t>
        </is>
      </c>
      <c r="C61" t="inlineStr">
        <is>
          <t>TikTok</t>
        </is>
      </c>
      <c r="D61" t="inlineStr">
        <is>
          <t>https://www.tiktok.com/@jack_napes/video/7669759178264612116</t>
        </is>
      </c>
      <c r="E61" t="inlineStr">
        <is>
          <t>Анастасия</t>
        </is>
      </c>
      <c r="F61" t="inlineStr">
        <is>
          <t>@jack_napes</t>
        </is>
      </c>
      <c r="G61" t="inlineStr">
        <is>
          <t>В Токмачке классно Если залетит сделаю фулл Ма́лая Токма́чка (укр. Мала́ Токма́чка) — село в Пологовском районе Запорожской области Украины, административный центр Малотокмачанской сельской общины. До</t>
        </is>
      </c>
      <c r="I61" t="inlineStr">
        <is>
          <t>да</t>
        </is>
      </c>
      <c r="K61" t="inlineStr">
        <is>
          <t>доступна (oEmbed)</t>
        </is>
      </c>
      <c r="L61" t="inlineStr">
        <is>
          <t>нет</t>
        </is>
      </c>
      <c r="M61" t="inlineStr">
        <is>
          <t>рус</t>
        </is>
      </c>
      <c r="N61" t="inlineStr">
        <is>
          <t>да</t>
        </is>
      </c>
      <c r="O61" t="inlineStr">
        <is>
          <t>Юмор и мемы</t>
        </is>
      </c>
      <c r="P61" t="inlineStr">
        <is>
          <t>только музыка</t>
        </is>
      </c>
      <c r="Q61" t="inlineStr">
        <is>
          <t xml:space="preserve">Своя тема: песни/политика/юмор; чел переделал песню нойза </t>
        </is>
      </c>
    </row>
    <row r="62">
      <c r="A62" t="n">
        <v>61</v>
      </c>
      <c r="B62" t="inlineStr">
        <is>
          <t>7690120228876995848</t>
        </is>
      </c>
      <c r="C62" t="inlineStr">
        <is>
          <t>TikTok</t>
        </is>
      </c>
      <c r="D62" t="inlineStr">
        <is>
          <t>https://www.tiktok.com/@gonzo_authorka/video/7690120228876995848</t>
        </is>
      </c>
      <c r="E62" t="inlineStr">
        <is>
          <t>Анастасия</t>
        </is>
      </c>
      <c r="F62" t="inlineStr">
        <is>
          <t>@gonzo_authorka</t>
        </is>
      </c>
      <c r="G62" t="inlineStr">
        <is>
          <t xml:space="preserve">В каком году родился самый несчастный зумер? Если обобщать вводы двух видео, то можно сказать, что чем раньше родился — тем лучше. Все это очень печально. А вы согласны? </t>
        </is>
      </c>
      <c r="I62" t="inlineStr">
        <is>
          <t>да</t>
        </is>
      </c>
      <c r="K62" t="inlineStr">
        <is>
          <t>доступна (oEmbed)</t>
        </is>
      </c>
      <c r="L62" t="inlineStr">
        <is>
          <t>да</t>
        </is>
      </c>
      <c r="M62" t="inlineStr">
        <is>
          <t>рус</t>
        </is>
      </c>
      <c r="N62" t="inlineStr">
        <is>
          <t>да</t>
        </is>
      </c>
      <c r="O62" t="inlineStr">
        <is>
          <t>Общество и политика</t>
        </is>
      </c>
      <c r="P62" t="inlineStr">
        <is>
          <t>хорошее</t>
        </is>
      </c>
      <c r="Q62" t="inlineStr">
        <is>
          <t>Своя тема: социальные проблемы; про зумеров</t>
        </is>
      </c>
    </row>
    <row r="63">
      <c r="A63" t="n">
        <v>62</v>
      </c>
      <c r="B63" t="inlineStr">
        <is>
          <t>7690956640887115029</t>
        </is>
      </c>
      <c r="C63" t="inlineStr">
        <is>
          <t>TikTok</t>
        </is>
      </c>
      <c r="D63" t="inlineStr">
        <is>
          <t>https://www.tiktok.com/@ldrphrt/video/7690956640887115029</t>
        </is>
      </c>
      <c r="E63" t="inlineStr">
        <is>
          <t>Анастасия</t>
        </is>
      </c>
      <c r="F63" t="inlineStr">
        <is>
          <t>@ldrphrt</t>
        </is>
      </c>
      <c r="G63" t="inlineStr">
        <is>
          <t>6 лет подряд каждую осень один и тот же срач, я обожаю. Видео Миланы Некрасовой у меня не вызывает негатива, я думаю она просто рейджбайтнула и люди начали выдавать хиханьки хаханьки. Вопросы только к</t>
        </is>
      </c>
      <c r="I63" t="inlineStr">
        <is>
          <t>да</t>
        </is>
      </c>
      <c r="K63" t="inlineStr">
        <is>
          <t>доступна (oEmbed)</t>
        </is>
      </c>
      <c r="L63" t="inlineStr">
        <is>
          <t>нет</t>
        </is>
      </c>
      <c r="M63" t="inlineStr">
        <is>
          <t>рус</t>
        </is>
      </c>
      <c r="N63" t="inlineStr">
        <is>
          <t>да</t>
        </is>
      </c>
      <c r="O63" t="inlineStr">
        <is>
          <t>Общество и политика</t>
        </is>
      </c>
      <c r="P63" t="inlineStr">
        <is>
          <t>только музыка</t>
        </is>
      </c>
      <c r="Q63" t="inlineStr">
        <is>
          <t>Своя тема: социальные проблемы</t>
        </is>
      </c>
    </row>
    <row r="64">
      <c r="A64" t="n">
        <v>63</v>
      </c>
      <c r="B64" t="inlineStr">
        <is>
          <t>7689009273715576072</t>
        </is>
      </c>
      <c r="C64" t="inlineStr">
        <is>
          <t>TikTok</t>
        </is>
      </c>
      <c r="D64" t="inlineStr">
        <is>
          <t>https://www.tiktok.com/@maslova.trainer/video/7689009273715576072</t>
        </is>
      </c>
      <c r="E64" t="inlineStr">
        <is>
          <t>Анастасия</t>
        </is>
      </c>
      <c r="F64" t="inlineStr">
        <is>
          <t>@maslova.trainer</t>
        </is>
      </c>
      <c r="G64" t="inlineStr">
        <is>
          <t>В какой-то момент понимаешь, что лучший движ — тот, после которого тебе хорошо и сегодня, и завтра утром! И нет — это не про скучную жизнь. Просто теперь кайф выглядит немного иначе: тренировка → вкус</t>
        </is>
      </c>
      <c r="I64" t="inlineStr">
        <is>
          <t>да</t>
        </is>
      </c>
      <c r="K64" t="inlineStr">
        <is>
          <t>доступна (oEmbed)</t>
        </is>
      </c>
      <c r="L64" t="inlineStr">
        <is>
          <t>нет</t>
        </is>
      </c>
      <c r="M64" t="inlineStr">
        <is>
          <t>рус</t>
        </is>
      </c>
      <c r="N64" t="inlineStr">
        <is>
          <t>да</t>
        </is>
      </c>
      <c r="O64" t="inlineStr">
        <is>
          <t>Спорт и здоровье</t>
        </is>
      </c>
      <c r="P64" t="inlineStr">
        <is>
          <t>только музыка</t>
        </is>
      </c>
      <c r="Q64" t="inlineStr">
        <is>
          <t>Своя тема: спорт</t>
        </is>
      </c>
    </row>
    <row r="65">
      <c r="A65" t="n">
        <v>64</v>
      </c>
      <c r="B65" t="inlineStr">
        <is>
          <t>7685057872371141908</t>
        </is>
      </c>
      <c r="C65" t="inlineStr">
        <is>
          <t>TikTok</t>
        </is>
      </c>
      <c r="D65" t="inlineStr">
        <is>
          <t>https://www.tiktok.com/@7345577959379731462/video/7685057872371141908</t>
        </is>
      </c>
      <c r="E65" t="inlineStr">
        <is>
          <t>Анастасия</t>
        </is>
      </c>
      <c r="F65" t="inlineStr">
        <is>
          <t>@qwerty.eie</t>
        </is>
      </c>
      <c r="G65" t="inlineStr">
        <is>
          <t>Моноколесо — это персональное электрическое транспортное средство с одним колесом, двумя боковыми платформами для ног и системой автоматического удержания равновесия. Основные части: * Колесо и шина —</t>
        </is>
      </c>
      <c r="I65" t="inlineStr">
        <is>
          <t>да</t>
        </is>
      </c>
      <c r="K65" t="inlineStr">
        <is>
          <t>доступна (oEmbed)</t>
        </is>
      </c>
      <c r="L65" t="inlineStr">
        <is>
          <t>нет</t>
        </is>
      </c>
      <c r="M65" t="inlineStr">
        <is>
          <t>рус</t>
        </is>
      </c>
      <c r="N65" t="inlineStr">
        <is>
          <t>нет</t>
        </is>
      </c>
      <c r="O65" t="inlineStr">
        <is>
          <t>Юмор и мемы</t>
        </is>
      </c>
      <c r="P65" t="inlineStr">
        <is>
          <t>только музыка</t>
        </is>
      </c>
      <c r="Q65" t="inlineStr">
        <is>
          <t>Своя тема: юмор; бабка на моноколесе, есть слова в песне</t>
        </is>
      </c>
    </row>
    <row r="66">
      <c r="A66" t="n">
        <v>65</v>
      </c>
      <c r="B66" t="inlineStr">
        <is>
          <t>7695184332280876294</t>
        </is>
      </c>
      <c r="C66" t="inlineStr">
        <is>
          <t>TikTok</t>
        </is>
      </c>
      <c r="D66" t="inlineStr">
        <is>
          <t>https://www.tiktok.com/@addanilovaa/video/7695184332280876294</t>
        </is>
      </c>
      <c r="E66" t="inlineStr">
        <is>
          <t>Анастасия</t>
        </is>
      </c>
      <c r="F66" t="inlineStr">
        <is>
          <t>@addanilovaa</t>
        </is>
      </c>
      <c r="G66" t="inlineStr">
        <is>
          <t>Моя тренировка на ягодицы и зпб ⚒️   // на мне майка vivclub.ru 🤍   • в румынской тяге делаю 2 разминочных подхода - с 50% рабочего веса, и с 75% • в ягодичном мостике - 1 разминочный подход с 50% раб</t>
        </is>
      </c>
      <c r="I66" t="inlineStr">
        <is>
          <t>да</t>
        </is>
      </c>
      <c r="K66" t="inlineStr">
        <is>
          <t>доступна (oEmbed)</t>
        </is>
      </c>
      <c r="L66" t="inlineStr">
        <is>
          <t>да</t>
        </is>
      </c>
      <c r="M66" t="inlineStr">
        <is>
          <t>рус</t>
        </is>
      </c>
      <c r="N66" t="inlineStr">
        <is>
          <t>да</t>
        </is>
      </c>
      <c r="O66" t="inlineStr">
        <is>
          <t>Спорт и здоровье</t>
        </is>
      </c>
      <c r="P66" t="inlineStr">
        <is>
          <t>среднее</t>
        </is>
      </c>
      <c r="Q66" t="inlineStr">
        <is>
          <t>Своя тема: спортзвл</t>
        </is>
      </c>
    </row>
    <row r="67">
      <c r="A67" t="n">
        <v>66</v>
      </c>
      <c r="B67" t="inlineStr">
        <is>
          <t>7665324929747029255</t>
        </is>
      </c>
      <c r="C67" t="inlineStr">
        <is>
          <t>TikTok</t>
        </is>
      </c>
      <c r="D67" t="inlineStr">
        <is>
          <t>https://www.tiktok.com/@annturka/video/7665324929747029255</t>
        </is>
      </c>
      <c r="E67" t="inlineStr">
        <is>
          <t>Анастасия</t>
        </is>
      </c>
      <c r="F67" t="inlineStr">
        <is>
          <t>@annturka</t>
        </is>
      </c>
      <c r="G67" t="inlineStr">
        <is>
          <t>рецепт пп-синнабонов🤌🏻💔 Ингредиенты: Тесто: творог 300 г 3 яйца разрыхлитель 10 г Мука цельнозерновая ≈200 гр (ориентируюсь на консистенцию теста) Сахзам 2 мерных ложки Щепотка соли Начинка: корица 4-</t>
        </is>
      </c>
      <c r="I67" t="inlineStr">
        <is>
          <t>да</t>
        </is>
      </c>
      <c r="K67" t="inlineStr">
        <is>
          <t>доступна (oEmbed)</t>
        </is>
      </c>
      <c r="L67" t="inlineStr">
        <is>
          <t>да</t>
        </is>
      </c>
      <c r="M67" t="inlineStr">
        <is>
          <t>рус</t>
        </is>
      </c>
      <c r="N67" t="inlineStr">
        <is>
          <t>да</t>
        </is>
      </c>
      <c r="O67" t="inlineStr">
        <is>
          <t>Еда и рецепты</t>
        </is>
      </c>
      <c r="P67" t="inlineStr">
        <is>
          <t>хорошее</t>
        </is>
      </c>
      <c r="Q67" t="inlineStr">
        <is>
          <t>Своя тема: рецепт</t>
        </is>
      </c>
    </row>
    <row r="68">
      <c r="A68" t="n">
        <v>67</v>
      </c>
      <c r="B68" t="inlineStr">
        <is>
          <t>7694959401794424094</t>
        </is>
      </c>
      <c r="C68" t="inlineStr">
        <is>
          <t>TikTok</t>
        </is>
      </c>
      <c r="D68" t="inlineStr">
        <is>
          <t>https://www.tiktok.com/@etolerika/video/7694959401794424094</t>
        </is>
      </c>
      <c r="E68" t="inlineStr">
        <is>
          <t>Анастасия</t>
        </is>
      </c>
      <c r="F68" t="inlineStr">
        <is>
          <t>@etolerika</t>
        </is>
      </c>
      <c r="G68" t="inlineStr">
        <is>
          <t xml:space="preserve">Подборка еды, которая будет полезна для красоты кожи, волос и ногтей. Част 2 💌 @все это лерика  #заботаосебе #здоровоетело #уходзакожей #полезныесоветы #полезнаяеда </t>
        </is>
      </c>
      <c r="I68" t="inlineStr">
        <is>
          <t>да</t>
        </is>
      </c>
      <c r="K68" t="inlineStr">
        <is>
          <t>доступна (oEmbed)</t>
        </is>
      </c>
      <c r="L68" t="inlineStr">
        <is>
          <t>да</t>
        </is>
      </c>
      <c r="M68" t="inlineStr">
        <is>
          <t>рус</t>
        </is>
      </c>
      <c r="N68" t="inlineStr">
        <is>
          <t>да</t>
        </is>
      </c>
      <c r="O68" t="inlineStr">
        <is>
          <t>Еда и рецепты</t>
        </is>
      </c>
      <c r="P68" t="inlineStr">
        <is>
          <t>хорошее</t>
        </is>
      </c>
      <c r="Q68" t="inlineStr">
        <is>
          <t>Своя тема: еда</t>
        </is>
      </c>
    </row>
    <row r="69">
      <c r="A69" t="n">
        <v>68</v>
      </c>
      <c r="B69" t="inlineStr">
        <is>
          <t>7693556857654250773</t>
        </is>
      </c>
      <c r="C69" t="inlineStr">
        <is>
          <t>TikTok</t>
        </is>
      </c>
      <c r="D69" t="inlineStr">
        <is>
          <t>https://www.tiktok.com/@maria_homechef/video/7693556857654250773</t>
        </is>
      </c>
      <c r="E69" t="inlineStr">
        <is>
          <t>Анастасия</t>
        </is>
      </c>
      <c r="F69" t="inlineStr">
        <is>
          <t>@maria_homechef</t>
        </is>
      </c>
      <c r="G69" t="inlineStr">
        <is>
          <t>Творожные ватрушки 🍩  - 300г творога (у меня 1%) - 1 яйцо  - 90 грамм рисовой муки (или 80 пшеничной)  - ванилин  - 1 ст.л сахара  - щепотка соли  - 1/2 ч.л. разрыхлителя  начинка:  - 200 грамм мягког</t>
        </is>
      </c>
      <c r="I69" t="inlineStr">
        <is>
          <t>да</t>
        </is>
      </c>
      <c r="K69" t="inlineStr">
        <is>
          <t>доступна (oEmbed)</t>
        </is>
      </c>
      <c r="L69" t="inlineStr">
        <is>
          <t>нет</t>
        </is>
      </c>
      <c r="M69" t="inlineStr">
        <is>
          <t>рус</t>
        </is>
      </c>
      <c r="N69" t="inlineStr">
        <is>
          <t>да</t>
        </is>
      </c>
      <c r="O69" t="inlineStr">
        <is>
          <t>Еда и рецепты</t>
        </is>
      </c>
      <c r="P69" t="inlineStr">
        <is>
          <t>только музыка</t>
        </is>
      </c>
      <c r="Q69" t="inlineStr">
        <is>
          <t>Своя тема: рецепт</t>
        </is>
      </c>
    </row>
    <row r="70">
      <c r="A70" t="n">
        <v>69</v>
      </c>
      <c r="B70" t="inlineStr">
        <is>
          <t>7695621933588679943</t>
        </is>
      </c>
      <c r="C70" t="inlineStr">
        <is>
          <t>TikTok</t>
        </is>
      </c>
      <c r="D70" t="inlineStr">
        <is>
          <t>https://www.tiktok.com/@sitora.20/video/7695621933588679943</t>
        </is>
      </c>
      <c r="E70" t="inlineStr">
        <is>
          <t>Анастасия</t>
        </is>
      </c>
      <c r="F70" t="inlineStr">
        <is>
          <t>@sitora.20</t>
        </is>
      </c>
      <c r="G70" t="inlineStr">
        <is>
          <t>Картофельная запеканка с курицей и грибами Ингредиенты: * Картофель — 3 шт. (1 большая и 2 средние) * Молоко — 2 ст. л. * Куриное филе — 1 шт. * Лук — ½ шт. * Шампиньоны — 3–4 шт. * Сливки 20% — 50 мл</t>
        </is>
      </c>
      <c r="I70" t="inlineStr">
        <is>
          <t>да</t>
        </is>
      </c>
      <c r="K70" t="inlineStr">
        <is>
          <t>доступна (oEmbed)</t>
        </is>
      </c>
      <c r="L70" t="inlineStr">
        <is>
          <t>да</t>
        </is>
      </c>
      <c r="M70" t="inlineStr">
        <is>
          <t>рус</t>
        </is>
      </c>
      <c r="N70" t="inlineStr">
        <is>
          <t>да</t>
        </is>
      </c>
      <c r="O70" t="inlineStr">
        <is>
          <t>Еда и рецепты</t>
        </is>
      </c>
      <c r="P70" t="inlineStr">
        <is>
          <t>среднее</t>
        </is>
      </c>
      <c r="Q70" t="inlineStr">
        <is>
          <t>Своя тема: рецепт</t>
        </is>
      </c>
    </row>
    <row r="71">
      <c r="A71" t="n">
        <v>70</v>
      </c>
      <c r="B71" t="inlineStr">
        <is>
          <t>7695875950617152788</t>
        </is>
      </c>
      <c r="C71" t="inlineStr">
        <is>
          <t>TikTok</t>
        </is>
      </c>
      <c r="D71" t="inlineStr">
        <is>
          <t>https://www.tiktok.com/@lraresnake/video/7695875950617152788</t>
        </is>
      </c>
      <c r="E71" t="inlineStr">
        <is>
          <t>Анастасия</t>
        </is>
      </c>
      <c r="F71" t="inlineStr">
        <is>
          <t>@lraresnake</t>
        </is>
      </c>
      <c r="G71" t="inlineStr">
        <is>
          <t>наконец-то монополисты получили по заслугам #путинхуйло #fyp #нетвойне #мирукраине #свободуроссии</t>
        </is>
      </c>
      <c r="I71" t="inlineStr">
        <is>
          <t>да</t>
        </is>
      </c>
      <c r="K71" t="inlineStr">
        <is>
          <t>доступна (oEmbed)</t>
        </is>
      </c>
      <c r="L71" t="inlineStr">
        <is>
          <t>нет</t>
        </is>
      </c>
      <c r="M71" t="inlineStr">
        <is>
          <t>рус</t>
        </is>
      </c>
      <c r="N71" t="inlineStr">
        <is>
          <t>да</t>
        </is>
      </c>
      <c r="O71" t="inlineStr">
        <is>
          <t>Общество и политика</t>
        </is>
      </c>
      <c r="P71" t="inlineStr">
        <is>
          <t>только музыка</t>
        </is>
      </c>
      <c r="Q71" t="inlineStr">
        <is>
          <t>Своя тема: политика</t>
        </is>
      </c>
    </row>
    <row r="72">
      <c r="A72" t="n">
        <v>71</v>
      </c>
      <c r="B72" t="inlineStr">
        <is>
          <t>7691005131298491651</t>
        </is>
      </c>
      <c r="C72" t="inlineStr">
        <is>
          <t>TikTok</t>
        </is>
      </c>
      <c r="D72" t="inlineStr">
        <is>
          <t>https://www.tiktok.com/@superzav_fit/video/7691005131298491651</t>
        </is>
      </c>
      <c r="E72" t="inlineStr">
        <is>
          <t>Анастасия</t>
        </is>
      </c>
      <c r="F72" t="inlineStr">
        <is>
          <t>@superzav_fit</t>
        </is>
      </c>
      <c r="G72" t="inlineStr">
        <is>
          <t xml:space="preserve">Факты в отношениях 12 лет . Что для вас стрем  ? #отношенияспарнем #любовьотношения #мерзав #шокфакты </t>
        </is>
      </c>
      <c r="I72" t="inlineStr">
        <is>
          <t>да</t>
        </is>
      </c>
      <c r="K72" t="inlineStr">
        <is>
          <t>доступна (oEmbed)</t>
        </is>
      </c>
      <c r="L72" t="inlineStr">
        <is>
          <t>да</t>
        </is>
      </c>
      <c r="M72" t="inlineStr">
        <is>
          <t>рус</t>
        </is>
      </c>
      <c r="N72" t="inlineStr">
        <is>
          <t>да</t>
        </is>
      </c>
      <c r="O72" t="inlineStr">
        <is>
          <t>Психология и отношения</t>
        </is>
      </c>
      <c r="P72" t="inlineStr">
        <is>
          <t>хорошее</t>
        </is>
      </c>
      <c r="Q72" t="inlineStr">
        <is>
          <t>Своя тема: отношения</t>
        </is>
      </c>
    </row>
    <row r="73">
      <c r="A73" t="n">
        <v>72</v>
      </c>
      <c r="B73" t="inlineStr">
        <is>
          <t>7694731464369343777</t>
        </is>
      </c>
      <c r="C73" t="inlineStr">
        <is>
          <t>TikTok</t>
        </is>
      </c>
      <c r="D73" t="inlineStr">
        <is>
          <t>https://www.tiktok.com/@tanyabranding/video/7694731464369343777</t>
        </is>
      </c>
      <c r="E73" t="inlineStr">
        <is>
          <t>Анастасия</t>
        </is>
      </c>
      <c r="F73" t="inlineStr">
        <is>
          <t>@tanyabranding</t>
        </is>
      </c>
      <c r="G73" t="inlineStr">
        <is>
          <t xml:space="preserve">Женщин заставили больше страдать и рисковать жизнью, чтобы мужчинам было удобнее смотреть </t>
        </is>
      </c>
      <c r="I73" t="inlineStr">
        <is>
          <t>да</t>
        </is>
      </c>
      <c r="K73" t="inlineStr">
        <is>
          <t>доступна (oEmbed)</t>
        </is>
      </c>
      <c r="L73" t="inlineStr">
        <is>
          <t>да</t>
        </is>
      </c>
      <c r="M73" t="inlineStr">
        <is>
          <t>рус</t>
        </is>
      </c>
      <c r="N73" t="inlineStr">
        <is>
          <t>да</t>
        </is>
      </c>
      <c r="O73" t="inlineStr">
        <is>
          <t>Общество и политика</t>
        </is>
      </c>
      <c r="P73" t="inlineStr">
        <is>
          <t>хорошее</t>
        </is>
      </c>
      <c r="Q73" t="inlineStr">
        <is>
          <t>Своя тема: социальные проблемы/гендерное неравенство</t>
        </is>
      </c>
    </row>
    <row r="74">
      <c r="A74" t="n">
        <v>73</v>
      </c>
      <c r="B74" t="inlineStr">
        <is>
          <t>7693518226281516295</t>
        </is>
      </c>
      <c r="C74" t="inlineStr">
        <is>
          <t>TikTok</t>
        </is>
      </c>
      <c r="D74" t="inlineStr">
        <is>
          <t>https://www.tiktok.com/@kischuk_trainer/video/7693518226281516295</t>
        </is>
      </c>
      <c r="E74" t="inlineStr">
        <is>
          <t>Анастасия</t>
        </is>
      </c>
      <c r="F74" t="inlineStr">
        <is>
          <t>@kischuk_trainer</t>
        </is>
      </c>
      <c r="G74" t="inlineStr">
        <is>
          <t xml:space="preserve">Запись ко мне на тренировки-онлайн/ведение—директ💌 Еще больше тренировок/жизни у меня в тгк kischuk </t>
        </is>
      </c>
      <c r="I74" t="inlineStr">
        <is>
          <t>да</t>
        </is>
      </c>
      <c r="K74" t="inlineStr">
        <is>
          <t>доступна (oEmbed)</t>
        </is>
      </c>
      <c r="L74" t="inlineStr">
        <is>
          <t>нет</t>
        </is>
      </c>
      <c r="M74" t="inlineStr">
        <is>
          <t>рус</t>
        </is>
      </c>
      <c r="N74" t="inlineStr">
        <is>
          <t>да</t>
        </is>
      </c>
      <c r="O74" t="inlineStr">
        <is>
          <t>Спорт и здоровье</t>
        </is>
      </c>
      <c r="P74" t="inlineStr">
        <is>
          <t>только музыка</t>
        </is>
      </c>
      <c r="Q74" t="inlineStr">
        <is>
          <t>Своя тема: спортзал</t>
        </is>
      </c>
    </row>
    <row r="75">
      <c r="A75" t="n">
        <v>74</v>
      </c>
      <c r="B75" t="inlineStr">
        <is>
          <t>7690952694558772501</t>
        </is>
      </c>
      <c r="C75" t="inlineStr">
        <is>
          <t>TikTok</t>
        </is>
      </c>
      <c r="D75" t="inlineStr">
        <is>
          <t>https://www.tiktok.com/@comigration/video/7690952694558772501</t>
        </is>
      </c>
      <c r="E75" t="inlineStr">
        <is>
          <t>Анастасия</t>
        </is>
      </c>
      <c r="F75" t="inlineStr">
        <is>
          <t>@comigration</t>
        </is>
      </c>
      <c r="G75" t="inlineStr">
        <is>
          <t>Эксклюзивный Вотафлаг из Алматы №2 на наших платных платформах! #шашлык #девушки #отношения</t>
        </is>
      </c>
      <c r="I75" t="inlineStr">
        <is>
          <t>да</t>
        </is>
      </c>
      <c r="K75" t="inlineStr">
        <is>
          <t>доступна (oEmbed)</t>
        </is>
      </c>
      <c r="L75" t="inlineStr">
        <is>
          <t>да</t>
        </is>
      </c>
      <c r="M75" t="inlineStr">
        <is>
          <t>рус</t>
        </is>
      </c>
      <c r="N75" t="inlineStr">
        <is>
          <t>да</t>
        </is>
      </c>
      <c r="O75" t="inlineStr">
        <is>
          <t>Юмор и мемы</t>
        </is>
      </c>
      <c r="P75" t="inlineStr">
        <is>
          <t>хорошее</t>
        </is>
      </c>
      <c r="Q75" t="inlineStr">
        <is>
          <t>Своя тема: стендап</t>
        </is>
      </c>
    </row>
    <row r="76">
      <c r="A76" t="n">
        <v>75</v>
      </c>
      <c r="B76" t="inlineStr">
        <is>
          <t>7696245465880202518</t>
        </is>
      </c>
      <c r="C76" t="inlineStr">
        <is>
          <t>TikTok</t>
        </is>
      </c>
      <c r="D76" t="inlineStr">
        <is>
          <t>https://www.tiktok.com/@fanstef7/video/7696245465880202518</t>
        </is>
      </c>
      <c r="E76" t="inlineStr">
        <is>
          <t>Анастасия</t>
        </is>
      </c>
      <c r="F76" t="inlineStr">
        <is>
          <t>@fanstef7</t>
        </is>
      </c>
      <c r="G76" t="inlineStr">
        <is>
          <t xml:space="preserve">Я ее знаю, завидуйте @Аля Шнуркова #штефанов #котик #партияпчеловодов #александрштефанов </t>
        </is>
      </c>
      <c r="I76" t="inlineStr">
        <is>
          <t>да</t>
        </is>
      </c>
      <c r="K76" t="inlineStr">
        <is>
          <t>доступна (oEmbed)</t>
        </is>
      </c>
      <c r="L76" t="inlineStr">
        <is>
          <t>да</t>
        </is>
      </c>
      <c r="M76" t="inlineStr">
        <is>
          <t>рус</t>
        </is>
      </c>
      <c r="N76" t="inlineStr">
        <is>
          <t>да</t>
        </is>
      </c>
      <c r="O76" t="inlineStr">
        <is>
          <t>Юмор и мемы</t>
        </is>
      </c>
      <c r="P76" t="inlineStr">
        <is>
          <t>среднее</t>
        </is>
      </c>
      <c r="Q76" t="inlineStr">
        <is>
          <t>Своя тема: юмор/политика</t>
        </is>
      </c>
    </row>
    <row r="77">
      <c r="A77" t="n">
        <v>76</v>
      </c>
      <c r="B77" t="inlineStr">
        <is>
          <t>-194778748_456240278</t>
        </is>
      </c>
      <c r="C77" t="inlineStr">
        <is>
          <t>VK</t>
        </is>
      </c>
      <c r="D77" t="inlineStr">
        <is>
          <t>https://vk.com/clip-194778748_456240278</t>
        </is>
      </c>
      <c r="E77" t="inlineStr">
        <is>
          <t>Анастасия</t>
        </is>
      </c>
      <c r="F77" t="inlineStr">
        <is>
          <t>Алексей Даровский | Банкротство физических лиц.</t>
        </is>
      </c>
      <c r="G77" t="inlineStr">
        <is>
          <t>Clip by @onlinebankrot</t>
        </is>
      </c>
      <c r="H77" t="n">
        <v>50</v>
      </c>
      <c r="I77" t="inlineStr">
        <is>
          <t>да</t>
        </is>
      </c>
      <c r="J77" t="inlineStr">
        <is>
          <t>нет</t>
        </is>
      </c>
      <c r="K77" t="inlineStr">
        <is>
          <t>доступна</t>
        </is>
      </c>
      <c r="L77" t="inlineStr">
        <is>
          <t>да</t>
        </is>
      </c>
      <c r="M77" t="inlineStr">
        <is>
          <t>рус</t>
        </is>
      </c>
      <c r="N77" t="inlineStr">
        <is>
          <t>да</t>
        </is>
      </c>
      <c r="O77" t="inlineStr">
        <is>
          <t>Общество и политика</t>
        </is>
      </c>
      <c r="P77" t="inlineStr">
        <is>
          <t>хорошее</t>
        </is>
      </c>
      <c r="Q77" t="inlineStr">
        <is>
          <t>VK: из рекомендаций, не личное «Избранное»</t>
        </is>
      </c>
    </row>
    <row r="78">
      <c r="A78" t="n">
        <v>77</v>
      </c>
      <c r="B78" t="inlineStr">
        <is>
          <t>-212781631_456239710</t>
        </is>
      </c>
      <c r="C78" t="inlineStr">
        <is>
          <t>VK</t>
        </is>
      </c>
      <c r="D78" t="inlineStr">
        <is>
          <t>https://vk.com/clip-212781631_456239710</t>
        </is>
      </c>
      <c r="E78" t="inlineStr">
        <is>
          <t>Анастасия</t>
        </is>
      </c>
      <c r="F78" t="inlineStr">
        <is>
          <t>Вероника Кромбергер | Бизнес-психология</t>
        </is>
      </c>
      <c r="G78" t="inlineStr">
        <is>
          <t>Clip by @veronika_kromberger</t>
        </is>
      </c>
      <c r="H78" t="n">
        <v>126</v>
      </c>
      <c r="I78" t="inlineStr">
        <is>
          <t>да</t>
        </is>
      </c>
      <c r="J78" t="inlineStr">
        <is>
          <t>нет</t>
        </is>
      </c>
      <c r="K78" t="inlineStr">
        <is>
          <t>доступна</t>
        </is>
      </c>
      <c r="L78" t="inlineStr">
        <is>
          <t>да</t>
        </is>
      </c>
      <c r="M78" t="inlineStr">
        <is>
          <t>рус</t>
        </is>
      </c>
      <c r="N78" t="inlineStr">
        <is>
          <t>да</t>
        </is>
      </c>
      <c r="O78" t="inlineStr">
        <is>
          <t>Другое</t>
        </is>
      </c>
      <c r="P78" t="inlineStr">
        <is>
          <t>среднее</t>
        </is>
      </c>
      <c r="Q78" t="inlineStr">
        <is>
          <t>VK: из рекомендаций, не личное «Избранное»</t>
        </is>
      </c>
    </row>
    <row r="79">
      <c r="A79" t="n">
        <v>78</v>
      </c>
      <c r="B79" t="inlineStr">
        <is>
          <t>-219478341_456239272</t>
        </is>
      </c>
      <c r="C79" t="inlineStr">
        <is>
          <t>VK</t>
        </is>
      </c>
      <c r="D79" t="inlineStr">
        <is>
          <t>https://vk.com/clip-219478341_456239272</t>
        </is>
      </c>
      <c r="E79" t="inlineStr">
        <is>
          <t>Анастасия</t>
        </is>
      </c>
      <c r="F79" t="inlineStr">
        <is>
          <t>ARTWORX</t>
        </is>
      </c>
      <c r="G79" t="inlineStr">
        <is>
          <t>Clip by @artworx_crew</t>
        </is>
      </c>
      <c r="H79" t="n">
        <v>85</v>
      </c>
      <c r="I79" t="inlineStr">
        <is>
          <t>да</t>
        </is>
      </c>
      <c r="J79" t="inlineStr">
        <is>
          <t>нет</t>
        </is>
      </c>
      <c r="K79" t="inlineStr">
        <is>
          <t>доступна</t>
        </is>
      </c>
      <c r="L79" t="inlineStr">
        <is>
          <t>да</t>
        </is>
      </c>
      <c r="M79" t="inlineStr">
        <is>
          <t>рус</t>
        </is>
      </c>
      <c r="N79" t="inlineStr">
        <is>
          <t>да</t>
        </is>
      </c>
      <c r="O79" t="inlineStr">
        <is>
          <t>Кино и сериалы</t>
        </is>
      </c>
      <c r="P79" t="inlineStr">
        <is>
          <t>хорошее</t>
        </is>
      </c>
      <c r="Q79" t="inlineStr">
        <is>
          <t>VK: из рекомендаций, не личное «Избранное»</t>
        </is>
      </c>
    </row>
    <row r="80">
      <c r="A80" t="n">
        <v>79</v>
      </c>
      <c r="B80" t="inlineStr">
        <is>
          <t>-211006595_456239084</t>
        </is>
      </c>
      <c r="C80" t="inlineStr">
        <is>
          <t>VK</t>
        </is>
      </c>
      <c r="D80" t="inlineStr">
        <is>
          <t>https://vk.com/clip-211006595_456239084</t>
        </is>
      </c>
      <c r="E80" t="inlineStr">
        <is>
          <t>Анастасия</t>
        </is>
      </c>
      <c r="F80" t="inlineStr">
        <is>
          <t>Маша Зорина | мама, находки, посутка | Москва</t>
        </is>
      </c>
      <c r="G80" t="inlineStr">
        <is>
          <t>Clip by @mashaa_zorinaa</t>
        </is>
      </c>
      <c r="H80" t="n">
        <v>76</v>
      </c>
      <c r="I80" t="inlineStr">
        <is>
          <t>да</t>
        </is>
      </c>
      <c r="J80" t="inlineStr">
        <is>
          <t>нет</t>
        </is>
      </c>
      <c r="K80" t="inlineStr">
        <is>
          <t>доступна</t>
        </is>
      </c>
      <c r="L80" t="inlineStr">
        <is>
          <t>да</t>
        </is>
      </c>
      <c r="M80" t="inlineStr">
        <is>
          <t>рус</t>
        </is>
      </c>
      <c r="N80" t="inlineStr">
        <is>
          <t>да</t>
        </is>
      </c>
      <c r="O80" t="inlineStr">
        <is>
          <t>Другое</t>
        </is>
      </c>
      <c r="P80" t="inlineStr">
        <is>
          <t>хорошее</t>
        </is>
      </c>
      <c r="Q80" t="inlineStr">
        <is>
          <t>VK: из рекомендаций, не личное «Избранное»</t>
        </is>
      </c>
    </row>
    <row r="81">
      <c r="A81" t="n">
        <v>80</v>
      </c>
      <c r="B81" t="inlineStr">
        <is>
          <t>-179784060_456244300</t>
        </is>
      </c>
      <c r="C81" t="inlineStr">
        <is>
          <t>VK</t>
        </is>
      </c>
      <c r="D81" t="inlineStr">
        <is>
          <t>https://vk.com/clip-179784060_456244300</t>
        </is>
      </c>
      <c r="E81" t="inlineStr">
        <is>
          <t>Анастасия</t>
        </is>
      </c>
      <c r="F81" t="inlineStr">
        <is>
          <t>Москва</t>
        </is>
      </c>
      <c r="G81" t="inlineStr">
        <is>
          <t>Clip by @moskva7777</t>
        </is>
      </c>
      <c r="H81" t="n">
        <v>114</v>
      </c>
      <c r="I81" t="inlineStr">
        <is>
          <t>да</t>
        </is>
      </c>
      <c r="J81" t="inlineStr">
        <is>
          <t>нет</t>
        </is>
      </c>
      <c r="K81" t="inlineStr">
        <is>
          <t>доступна</t>
        </is>
      </c>
      <c r="L81" t="inlineStr">
        <is>
          <t>да</t>
        </is>
      </c>
      <c r="M81" t="inlineStr">
        <is>
          <t>рус</t>
        </is>
      </c>
      <c r="N81" t="inlineStr">
        <is>
          <t>нет</t>
        </is>
      </c>
      <c r="O81" t="inlineStr">
        <is>
          <t>Другое</t>
        </is>
      </c>
      <c r="P81" t="inlineStr">
        <is>
          <t>хорошее</t>
        </is>
      </c>
      <c r="Q81" t="inlineStr">
        <is>
          <t>VK: из рекомендаций, не личное «Избранное»</t>
        </is>
      </c>
    </row>
    <row r="82">
      <c r="A82" t="n">
        <v>81</v>
      </c>
      <c r="B82" t="inlineStr">
        <is>
          <t>-231414357_456239285</t>
        </is>
      </c>
      <c r="C82" t="inlineStr">
        <is>
          <t>VK</t>
        </is>
      </c>
      <c r="D82" t="inlineStr">
        <is>
          <t>https://vk.com/clip-231414357_456239285</t>
        </is>
      </c>
      <c r="E82" t="inlineStr">
        <is>
          <t>Анастасия</t>
        </is>
      </c>
      <c r="F82" t="inlineStr">
        <is>
          <t>Право&amp;Деньги – Законный выход из долгов</t>
        </is>
      </c>
      <c r="G82" t="inlineStr">
        <is>
          <t>Clip by @pravodengi</t>
        </is>
      </c>
      <c r="H82" t="n">
        <v>30</v>
      </c>
      <c r="I82" t="inlineStr">
        <is>
          <t>да</t>
        </is>
      </c>
      <c r="J82" t="inlineStr">
        <is>
          <t>нет</t>
        </is>
      </c>
      <c r="K82" t="inlineStr">
        <is>
          <t>доступна</t>
        </is>
      </c>
      <c r="L82" t="inlineStr">
        <is>
          <t>да</t>
        </is>
      </c>
      <c r="M82" t="inlineStr">
        <is>
          <t>рус</t>
        </is>
      </c>
      <c r="N82" t="inlineStr">
        <is>
          <t>да</t>
        </is>
      </c>
      <c r="O82" t="inlineStr">
        <is>
          <t>Лайфхаки и быт</t>
        </is>
      </c>
      <c r="P82" t="inlineStr">
        <is>
          <t>хорошее</t>
        </is>
      </c>
      <c r="Q82" t="inlineStr">
        <is>
          <t>VK: из рекомендаций, не личное «Избранное»</t>
        </is>
      </c>
    </row>
    <row r="83">
      <c r="A83" t="n">
        <v>82</v>
      </c>
      <c r="B83" t="inlineStr">
        <is>
          <t>-99173315_456282046</t>
        </is>
      </c>
      <c r="C83" t="inlineStr">
        <is>
          <t>VK</t>
        </is>
      </c>
      <c r="D83" t="inlineStr">
        <is>
          <t>https://vk.com/clip-99173315_456282046</t>
        </is>
      </c>
      <c r="E83" t="inlineStr">
        <is>
          <t>Анастасия</t>
        </is>
      </c>
      <c r="F83" t="inlineStr">
        <is>
          <t>Телеканал «ДОН 24»</t>
        </is>
      </c>
      <c r="G83" t="inlineStr">
        <is>
          <t>Clip by @don24tv</t>
        </is>
      </c>
      <c r="H83" t="n">
        <v>34</v>
      </c>
      <c r="I83" t="inlineStr">
        <is>
          <t>да</t>
        </is>
      </c>
      <c r="J83" t="inlineStr">
        <is>
          <t>нет</t>
        </is>
      </c>
      <c r="K83" t="inlineStr">
        <is>
          <t>доступна</t>
        </is>
      </c>
      <c r="L83" t="inlineStr">
        <is>
          <t>да</t>
        </is>
      </c>
      <c r="M83" t="inlineStr">
        <is>
          <t>рус</t>
        </is>
      </c>
      <c r="N83" t="inlineStr">
        <is>
          <t>нет</t>
        </is>
      </c>
      <c r="O83" t="inlineStr">
        <is>
          <t>Другое</t>
        </is>
      </c>
      <c r="P83" t="inlineStr">
        <is>
          <t>хорошее</t>
        </is>
      </c>
      <c r="Q83" t="inlineStr">
        <is>
          <t>VK: из рекомендаций, не личное «Избранное»</t>
        </is>
      </c>
    </row>
    <row r="84">
      <c r="A84" t="n">
        <v>83</v>
      </c>
      <c r="B84" t="inlineStr">
        <is>
          <t>-228626101_456239235</t>
        </is>
      </c>
      <c r="C84" t="inlineStr">
        <is>
          <t>VK</t>
        </is>
      </c>
      <c r="D84" t="inlineStr">
        <is>
          <t>https://vk.com/clip-228626101_456239235</t>
        </is>
      </c>
      <c r="E84" t="inlineStr">
        <is>
          <t>Анастасия</t>
        </is>
      </c>
      <c r="F84" t="inlineStr">
        <is>
          <t>С ДЕТСКОГО НА ВЗРОСЛЫЙ</t>
        </is>
      </c>
      <c r="G84" t="inlineStr">
        <is>
          <t>Clip by @s_detskogo_na_vzrosliy</t>
        </is>
      </c>
      <c r="H84" t="n">
        <v>111</v>
      </c>
      <c r="I84" t="inlineStr">
        <is>
          <t>да</t>
        </is>
      </c>
      <c r="J84" t="inlineStr">
        <is>
          <t>нет</t>
        </is>
      </c>
      <c r="K84" t="inlineStr">
        <is>
          <t>доступна</t>
        </is>
      </c>
      <c r="L84" t="inlineStr">
        <is>
          <t>да</t>
        </is>
      </c>
      <c r="M84" t="inlineStr">
        <is>
          <t>рус</t>
        </is>
      </c>
      <c r="N84" t="inlineStr">
        <is>
          <t>да</t>
        </is>
      </c>
      <c r="O84" t="inlineStr">
        <is>
          <t>Другое</t>
        </is>
      </c>
      <c r="P84" t="inlineStr">
        <is>
          <t>хорошее</t>
        </is>
      </c>
      <c r="Q84" t="inlineStr">
        <is>
          <t>VK: из рекомендаций, не личное «Избранное»</t>
        </is>
      </c>
    </row>
    <row r="85">
      <c r="A85" t="n">
        <v>84</v>
      </c>
      <c r="B85" t="inlineStr">
        <is>
          <t>-219199731_456239320</t>
        </is>
      </c>
      <c r="C85" t="inlineStr">
        <is>
          <t>VK</t>
        </is>
      </c>
      <c r="D85" t="inlineStr">
        <is>
          <t>https://vk.com/clip-219199731_456239320</t>
        </is>
      </c>
      <c r="E85" t="inlineStr">
        <is>
          <t>Анастасия</t>
        </is>
      </c>
      <c r="F85" t="inlineStr">
        <is>
          <t>ДОРГИР I Продажа и обслуживание спецтехники</t>
        </is>
      </c>
      <c r="G85" t="inlineStr">
        <is>
          <t>Clip by @dorgear</t>
        </is>
      </c>
      <c r="H85" t="n">
        <v>64</v>
      </c>
      <c r="I85" t="inlineStr">
        <is>
          <t>да</t>
        </is>
      </c>
      <c r="J85" t="inlineStr">
        <is>
          <t>нет</t>
        </is>
      </c>
      <c r="K85" t="inlineStr">
        <is>
          <t>доступна</t>
        </is>
      </c>
      <c r="L85" t="inlineStr">
        <is>
          <t>да</t>
        </is>
      </c>
      <c r="M85" t="inlineStr">
        <is>
          <t>рус</t>
        </is>
      </c>
      <c r="N85" t="inlineStr">
        <is>
          <t>да</t>
        </is>
      </c>
      <c r="O85" t="inlineStr">
        <is>
          <t>Другое</t>
        </is>
      </c>
      <c r="P85" t="inlineStr">
        <is>
          <t>хорошее</t>
        </is>
      </c>
      <c r="Q85" t="inlineStr">
        <is>
          <t>VK: из рекомендаций, не личное «Избранное»</t>
        </is>
      </c>
    </row>
    <row r="86">
      <c r="A86" t="n">
        <v>85</v>
      </c>
      <c r="B86" t="inlineStr">
        <is>
          <t>-185334713_456249908</t>
        </is>
      </c>
      <c r="C86" t="inlineStr">
        <is>
          <t>VK</t>
        </is>
      </c>
      <c r="D86" t="inlineStr">
        <is>
          <t>https://vk.com/clip-185334713_456249908</t>
        </is>
      </c>
      <c r="E86" t="inlineStr">
        <is>
          <t>Анастасия</t>
        </is>
      </c>
      <c r="F86" t="inlineStr">
        <is>
          <t>Типичный Антипаблик</t>
        </is>
      </c>
      <c r="G86" t="inlineStr">
        <is>
          <t>Clip by @ant1publ1c</t>
        </is>
      </c>
      <c r="H86" t="n">
        <v>41</v>
      </c>
      <c r="I86" t="inlineStr">
        <is>
          <t>да</t>
        </is>
      </c>
      <c r="J86" t="inlineStr">
        <is>
          <t>нет</t>
        </is>
      </c>
      <c r="K86" t="inlineStr">
        <is>
          <t>доступна</t>
        </is>
      </c>
      <c r="L86" t="inlineStr">
        <is>
          <t>да</t>
        </is>
      </c>
      <c r="M86" t="inlineStr">
        <is>
          <t>рус</t>
        </is>
      </c>
      <c r="N86" t="inlineStr">
        <is>
          <t>нет</t>
        </is>
      </c>
      <c r="O86" t="inlineStr">
        <is>
          <t>Другое</t>
        </is>
      </c>
      <c r="P86" t="inlineStr">
        <is>
          <t>среднее</t>
        </is>
      </c>
      <c r="Q86" t="inlineStr">
        <is>
          <t>VK: из рекомендаций, не личное «Избранное»</t>
        </is>
      </c>
    </row>
    <row r="87">
      <c r="A87" t="n">
        <v>86</v>
      </c>
      <c r="B87" t="inlineStr">
        <is>
          <t>-98368576_456252067</t>
        </is>
      </c>
      <c r="C87" t="inlineStr">
        <is>
          <t>VK</t>
        </is>
      </c>
      <c r="D87" t="inlineStr">
        <is>
          <t>https://vk.com/clip-98368576_456252067</t>
        </is>
      </c>
      <c r="E87" t="inlineStr">
        <is>
          <t>Анастасия</t>
        </is>
      </c>
      <c r="F87" t="inlineStr">
        <is>
          <t>Фотошкола Сергея Максименко</t>
        </is>
      </c>
      <c r="G87" t="inlineStr">
        <is>
          <t>Clip by @maksimenko_photoschool</t>
        </is>
      </c>
      <c r="H87" t="n">
        <v>23</v>
      </c>
      <c r="I87" t="inlineStr">
        <is>
          <t>да</t>
        </is>
      </c>
      <c r="J87" t="inlineStr">
        <is>
          <t>нет</t>
        </is>
      </c>
      <c r="K87" t="inlineStr">
        <is>
          <t>доступна</t>
        </is>
      </c>
      <c r="L87" t="inlineStr">
        <is>
          <t>да</t>
        </is>
      </c>
      <c r="M87" t="inlineStr">
        <is>
          <t>рус</t>
        </is>
      </c>
      <c r="N87" t="inlineStr">
        <is>
          <t>нет</t>
        </is>
      </c>
      <c r="O87" t="inlineStr">
        <is>
          <t>Другое</t>
        </is>
      </c>
      <c r="P87" t="inlineStr">
        <is>
          <t>среднее</t>
        </is>
      </c>
      <c r="Q87" t="inlineStr">
        <is>
          <t>VK: из рекомендаций, не личное «Избранное»</t>
        </is>
      </c>
    </row>
    <row r="88">
      <c r="A88" t="n">
        <v>87</v>
      </c>
      <c r="B88" t="inlineStr">
        <is>
          <t>-160940586_456239666</t>
        </is>
      </c>
      <c r="C88" t="inlineStr">
        <is>
          <t>VK</t>
        </is>
      </c>
      <c r="D88" t="inlineStr">
        <is>
          <t>https://vk.com/clip-160940586_456239666</t>
        </is>
      </c>
      <c r="E88" t="inlineStr">
        <is>
          <t>Анастасия</t>
        </is>
      </c>
      <c r="F88" t="inlineStr">
        <is>
          <t>Иван Дымов</t>
        </is>
      </c>
      <c r="G88" t="inlineStr">
        <is>
          <t>Clip by @dymdymov</t>
        </is>
      </c>
      <c r="H88" t="n">
        <v>72</v>
      </c>
      <c r="I88" t="inlineStr">
        <is>
          <t>да</t>
        </is>
      </c>
      <c r="J88" t="inlineStr">
        <is>
          <t>нет</t>
        </is>
      </c>
      <c r="K88" t="inlineStr">
        <is>
          <t>доступна</t>
        </is>
      </c>
      <c r="L88" t="inlineStr">
        <is>
          <t>да</t>
        </is>
      </c>
      <c r="M88" t="inlineStr">
        <is>
          <t>рус</t>
        </is>
      </c>
      <c r="N88" t="inlineStr">
        <is>
          <t>да</t>
        </is>
      </c>
      <c r="O88" t="inlineStr">
        <is>
          <t>Общество и политика</t>
        </is>
      </c>
      <c r="P88" t="inlineStr">
        <is>
          <t>хорошее</t>
        </is>
      </c>
      <c r="Q88" t="inlineStr">
        <is>
          <t>VK: из рекомендаций, не личное «Избранное»</t>
        </is>
      </c>
    </row>
    <row r="89">
      <c r="A89" t="n">
        <v>88</v>
      </c>
      <c r="B89" t="inlineStr">
        <is>
          <t>-211423460_456239747</t>
        </is>
      </c>
      <c r="C89" t="inlineStr">
        <is>
          <t>VK</t>
        </is>
      </c>
      <c r="D89" t="inlineStr">
        <is>
          <t>https://vk.com/clip-211423460_456239747</t>
        </is>
      </c>
      <c r="E89" t="inlineStr">
        <is>
          <t>Анастасия</t>
        </is>
      </c>
      <c r="F89" t="inlineStr">
        <is>
          <t>Точка сборки</t>
        </is>
      </c>
      <c r="G89" t="inlineStr">
        <is>
          <t>Clip by @antonvolkov</t>
        </is>
      </c>
      <c r="H89" t="n">
        <v>57</v>
      </c>
      <c r="I89" t="inlineStr">
        <is>
          <t>да</t>
        </is>
      </c>
      <c r="J89" t="inlineStr">
        <is>
          <t>нет</t>
        </is>
      </c>
      <c r="K89" t="inlineStr">
        <is>
          <t>доступна</t>
        </is>
      </c>
      <c r="L89" t="inlineStr">
        <is>
          <t>да</t>
        </is>
      </c>
      <c r="M89" t="inlineStr">
        <is>
          <t>рус</t>
        </is>
      </c>
      <c r="N89" t="inlineStr">
        <is>
          <t>да</t>
        </is>
      </c>
      <c r="O89" t="inlineStr">
        <is>
          <t>Еда и рецепты</t>
        </is>
      </c>
      <c r="P89" t="inlineStr">
        <is>
          <t>хорошее</t>
        </is>
      </c>
      <c r="Q89" t="inlineStr">
        <is>
          <t>VK: из рекомендаций, не личное «Избранное»</t>
        </is>
      </c>
    </row>
    <row r="90">
      <c r="A90" t="n">
        <v>89</v>
      </c>
      <c r="B90" t="inlineStr">
        <is>
          <t>-191498811_456241633</t>
        </is>
      </c>
      <c r="C90" t="inlineStr">
        <is>
          <t>VK</t>
        </is>
      </c>
      <c r="D90" t="inlineStr">
        <is>
          <t>https://vk.com/clip-191498811_456241633</t>
        </is>
      </c>
      <c r="E90" t="inlineStr">
        <is>
          <t>Анастасия</t>
        </is>
      </c>
      <c r="F90" t="inlineStr">
        <is>
          <t>Блог для медиков и о медиках Ульяны Игнатовой</t>
        </is>
      </c>
      <c r="G90" t="inlineStr">
        <is>
          <t>Clip by @doctor_ulik</t>
        </is>
      </c>
      <c r="H90" t="n">
        <v>114</v>
      </c>
      <c r="I90" t="inlineStr">
        <is>
          <t>да</t>
        </is>
      </c>
      <c r="J90" t="inlineStr">
        <is>
          <t>нет</t>
        </is>
      </c>
      <c r="K90" t="inlineStr">
        <is>
          <t>доступна</t>
        </is>
      </c>
      <c r="L90" t="inlineStr">
        <is>
          <t>да</t>
        </is>
      </c>
      <c r="M90" t="inlineStr">
        <is>
          <t>рус</t>
        </is>
      </c>
      <c r="N90" t="inlineStr">
        <is>
          <t>нет</t>
        </is>
      </c>
      <c r="O90" t="inlineStr">
        <is>
          <t>Общество и политика</t>
        </is>
      </c>
      <c r="P90" t="inlineStr">
        <is>
          <t>хорошее</t>
        </is>
      </c>
      <c r="Q90" t="inlineStr">
        <is>
          <t>VK: из рекомендаций, не личное «Избранное»</t>
        </is>
      </c>
    </row>
    <row r="91">
      <c r="A91" t="n">
        <v>90</v>
      </c>
      <c r="B91" t="inlineStr">
        <is>
          <t>-212677051_456240481</t>
        </is>
      </c>
      <c r="C91" t="inlineStr">
        <is>
          <t>VK</t>
        </is>
      </c>
      <c r="D91" t="inlineStr">
        <is>
          <t>https://vk.com/clip-212677051_456240481</t>
        </is>
      </c>
      <c r="E91" t="inlineStr">
        <is>
          <t>Анастасия</t>
        </is>
      </c>
      <c r="F91" t="inlineStr">
        <is>
          <t>как мне быть</t>
        </is>
      </c>
      <c r="G91" t="inlineStr">
        <is>
          <t>Clip by @afterschoolway</t>
        </is>
      </c>
      <c r="H91" t="n">
        <v>43</v>
      </c>
      <c r="I91" t="inlineStr">
        <is>
          <t>да</t>
        </is>
      </c>
      <c r="J91" t="inlineStr">
        <is>
          <t>нет</t>
        </is>
      </c>
      <c r="K91" t="inlineStr">
        <is>
          <t>доступна</t>
        </is>
      </c>
      <c r="L91" t="inlineStr">
        <is>
          <t>да</t>
        </is>
      </c>
      <c r="M91" t="inlineStr">
        <is>
          <t>рус</t>
        </is>
      </c>
      <c r="N91" t="inlineStr">
        <is>
          <t>да</t>
        </is>
      </c>
      <c r="O91" t="inlineStr">
        <is>
          <t>Кино и сериалы</t>
        </is>
      </c>
      <c r="P91" t="inlineStr">
        <is>
          <t>хорошее</t>
        </is>
      </c>
      <c r="Q91" t="inlineStr">
        <is>
          <t>VK: из рекомендаций, не личное «Избранное»</t>
        </is>
      </c>
    </row>
    <row r="92">
      <c r="A92" t="n">
        <v>91</v>
      </c>
      <c r="B92" t="inlineStr">
        <is>
          <t>-39543596_456239409</t>
        </is>
      </c>
      <c r="C92" t="inlineStr">
        <is>
          <t>VK</t>
        </is>
      </c>
      <c r="D92" t="inlineStr">
        <is>
          <t>https://vk.com/clip-39543596_456239409</t>
        </is>
      </c>
      <c r="E92" t="inlineStr">
        <is>
          <t>Анастасия</t>
        </is>
      </c>
      <c r="F92" t="inlineStr">
        <is>
          <t>«Плюшки»</t>
        </is>
      </c>
      <c r="G92" t="inlineStr">
        <is>
          <t>Clip by @clubplyushki</t>
        </is>
      </c>
      <c r="H92" t="n">
        <v>113</v>
      </c>
      <c r="I92" t="inlineStr">
        <is>
          <t>да</t>
        </is>
      </c>
      <c r="J92" t="inlineStr">
        <is>
          <t>нет</t>
        </is>
      </c>
      <c r="K92" t="inlineStr">
        <is>
          <t>доступна</t>
        </is>
      </c>
      <c r="L92" t="inlineStr">
        <is>
          <t>да</t>
        </is>
      </c>
      <c r="M92" t="inlineStr">
        <is>
          <t>рус</t>
        </is>
      </c>
      <c r="N92" t="inlineStr">
        <is>
          <t>нет</t>
        </is>
      </c>
      <c r="O92" t="inlineStr">
        <is>
          <t>Юмор и мемы</t>
        </is>
      </c>
      <c r="P92" t="inlineStr">
        <is>
          <t>хорошее</t>
        </is>
      </c>
      <c r="Q92" t="inlineStr">
        <is>
          <t>VK: из рекомендаций, не личное «Избранное»</t>
        </is>
      </c>
    </row>
  </sheetData>
  <autoFilter ref="A1:Q92"/>
  <conditionalFormatting sqref="K2:K500">
    <cfRule type="expression" priority="1" dxfId="0">
      <formula>LEFT(K2,6)="ошибка"</formula>
    </cfRule>
  </conditionalFormatting>
  <dataValidations count="5">
    <dataValidation sqref="L2:L500" showDropDown="0" showInputMessage="0" showErrorMessage="1" allowBlank="1" type="list" errorStyle="stop">
      <formula1>"да,нет"</formula1>
    </dataValidation>
    <dataValidation sqref="N2:N500" showDropDown="0" showInputMessage="0" showErrorMessage="1" allowBlank="1" type="list" errorStyle="stop">
      <formula1>"да,нет"</formula1>
    </dataValidation>
    <dataValidation sqref="M2:M500" showDropDown="0" showInputMessage="0" showErrorMessage="0" allowBlank="1" type="list" errorStyle="warning">
      <formula1>"рус,англ,другой,нет речи"</formula1>
    </dataValidation>
    <dataValidation sqref="P2:P500" showDropDown="0" showInputMessage="0" showErrorMessage="1" allowBlank="1" type="list" errorStyle="stop">
      <formula1>"хорошее,среднее,плохое,только музыка"</formula1>
    </dataValidation>
    <dataValidation sqref="O2:O500" showDropDown="0" showInputMessage="0" showErrorMessage="0" allowBlank="1" type="list" errorStyle="warning">
      <formula1>Темы!$A$1:$A$14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Юмор и мемы</t>
        </is>
      </c>
    </row>
    <row r="2">
      <c r="A2" t="inlineStr">
        <is>
          <t>Еда и рецепты</t>
        </is>
      </c>
    </row>
    <row r="3">
      <c r="A3" t="inlineStr">
        <is>
          <t>Красота и уход</t>
        </is>
      </c>
    </row>
    <row r="4">
      <c r="A4" t="inlineStr">
        <is>
          <t>Мода и покупки</t>
        </is>
      </c>
    </row>
    <row r="5">
      <c r="A5" t="inlineStr">
        <is>
          <t>Учёба и IT</t>
        </is>
      </c>
    </row>
    <row r="6">
      <c r="A6" t="inlineStr">
        <is>
          <t>Спорт и здоровье</t>
        </is>
      </c>
    </row>
    <row r="7">
      <c r="A7" t="inlineStr">
        <is>
          <t>Путешествия и места</t>
        </is>
      </c>
    </row>
    <row r="8">
      <c r="A8" t="inlineStr">
        <is>
          <t>Психология и отношения</t>
        </is>
      </c>
    </row>
    <row r="9">
      <c r="A9" t="inlineStr">
        <is>
          <t>Музыка и танцы</t>
        </is>
      </c>
    </row>
    <row r="10">
      <c r="A10" t="inlineStr">
        <is>
          <t>Лайфхаки и быт</t>
        </is>
      </c>
    </row>
    <row r="11">
      <c r="A11" t="inlineStr">
        <is>
          <t>Кино и сериалы</t>
        </is>
      </c>
    </row>
    <row r="12">
      <c r="A12" t="inlineStr">
        <is>
          <t>Животные</t>
        </is>
      </c>
    </row>
    <row r="13">
      <c r="A13" t="inlineStr">
        <is>
          <t>Общество и политика</t>
        </is>
      </c>
    </row>
    <row r="14">
      <c r="A14" t="inlineStr">
        <is>
          <t>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2026-10-15T05:12:32Z</dcterms:created>
  <dcterms:modified xmlns:dcterms="http://purl.org/dc/terms/" xmlns:xsi="http://www.w3.org/2001/XMLSchema-instance" xsi:type="dcterms:W3CDTF">2026-10-15T05:12:32Z</dcterms:modified>
</cp:coreProperties>
</file>